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OM WORKING TEMPLATE" sheetId="1" state="visible" r:id="rId1"/>
    <sheet name="SPIR TAG vs SUBMT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Aptos Narrow"/>
      <color theme="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/>
      <right style="thin"/>
      <top style="thin"/>
      <bottom style="thin"/>
    </border>
    <border/>
  </borders>
  <cellStyleXfs count="3">
    <xf numFmtId="0" fontId="0" fillId="0" borderId="0"/>
    <xf numFmtId="0" fontId="6" fillId="0" borderId="0"/>
    <xf numFmtId="0" fontId="6" fillId="0" borderId="0"/>
  </cellStyleXfs>
  <cellXfs count="3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1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6" borderId="1" applyAlignment="1" pivotButton="0" quotePrefix="0" xfId="2">
      <alignment horizontal="center" vertical="center"/>
    </xf>
    <xf numFmtId="0" fontId="9" fillId="0" borderId="2" applyAlignment="1" pivotButton="0" quotePrefix="0" xfId="2">
      <alignment horizontal="center" vertical="center"/>
    </xf>
    <xf numFmtId="0" fontId="3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1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0" applyAlignment="1" pivotButton="0" quotePrefix="0" xfId="0">
      <alignment horizontal="left" vertical="top"/>
    </xf>
    <xf numFmtId="0" fontId="0" fillId="0" borderId="1" pivotButton="0" quotePrefix="1" xfId="0"/>
    <xf numFmtId="0" fontId="0" fillId="11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 vertical="top"/>
    </xf>
    <xf numFmtId="0" fontId="0" fillId="0" borderId="3" pivotButton="0" quotePrefix="1" xfId="0"/>
    <xf numFmtId="0" fontId="0" fillId="11" borderId="3" pivotButton="0" quotePrefix="0" xfId="0"/>
  </cellXfs>
  <cellStyles count="3">
    <cellStyle name="Normal" xfId="0" builtinId="0"/>
    <cellStyle name="Normal_MATERIAL MASTER 1" xfId="1"/>
    <cellStyle name="Normal_Sheet1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"/>
  <sheetViews>
    <sheetView tabSelected="1" workbookViewId="0">
      <pane ySplit="5" topLeftCell="A6" activePane="bottomLeft" state="frozen"/>
      <selection pane="bottomLeft" activeCell="P14" sqref="P14"/>
    </sheetView>
  </sheetViews>
  <sheetFormatPr baseColWidth="8" defaultRowHeight="15"/>
  <sheetData>
    <row r="1" ht="105" customFormat="1" customHeight="1" s="10">
      <c r="A1" s="1" t="inlineStr">
        <is>
          <t>SERIAL NUMBER</t>
        </is>
      </c>
      <c r="B1" s="2" t="inlineStr">
        <is>
          <t xml:space="preserve"> SAP MATERIAL NUMBER</t>
        </is>
      </c>
      <c r="C1" s="3" t="inlineStr">
        <is>
          <t>MATERIAL TEMP NUMBER</t>
        </is>
      </c>
      <c r="D1" s="3" t="inlineStr">
        <is>
          <t>MATERIAL TYPEVCATEGORY</t>
        </is>
      </c>
      <c r="E1" s="3" t="inlineStr">
        <is>
          <t>EXTERNAL NUMBER ASSIGNED FOR ASSEMBLY</t>
        </is>
      </c>
      <c r="F1" s="2" t="inlineStr">
        <is>
          <t>MESC/SPF_REF</t>
        </is>
      </c>
      <c r="G1" s="3" t="inlineStr">
        <is>
          <t>OLD MATERIAL NUMBER/SPF NUMBER</t>
        </is>
      </c>
      <c r="H1" s="4" t="inlineStr">
        <is>
          <t>LEN(OLD MAT/SPF NUMBER = 18)</t>
        </is>
      </c>
      <c r="I1" s="3" t="inlineStr">
        <is>
          <t>MATERIAL DESCRIPTION</t>
        </is>
      </c>
      <c r="J1" s="4" t="inlineStr">
        <is>
          <t>LEN(MAT.DESC = 40)</t>
        </is>
      </c>
      <c r="K1" s="3" t="inlineStr">
        <is>
          <t>MAINTENANCE PLANNING PLANT</t>
        </is>
      </c>
      <c r="L1" s="3" t="inlineStr">
        <is>
          <t xml:space="preserve">BASE UNIT OF MEASURE(T006) </t>
        </is>
      </c>
      <c r="M1" s="3" t="inlineStr">
        <is>
          <t>MANUFACTURERS PART NUMBER</t>
        </is>
      </c>
      <c r="N1" s="4" t="inlineStr">
        <is>
          <t>LEN(MFR PART NUMBER = 18)</t>
        </is>
      </c>
      <c r="O1" s="3" t="inlineStr">
        <is>
          <t>MANUFACTURER NAME</t>
        </is>
      </c>
      <c r="P1" s="4" t="inlineStr">
        <is>
          <t>LEN(MANUFACTURER=30)</t>
        </is>
      </c>
      <c r="Q1" s="3" t="inlineStr">
        <is>
          <t>SAFETY STOCK</t>
        </is>
      </c>
      <c r="R1" s="3" t="inlineStr">
        <is>
          <t>CRITICALITY (EQUIPMENT)</t>
        </is>
      </c>
      <c r="S1" s="3" t="inlineStr">
        <is>
          <t xml:space="preserve">MATERIAL IS AN EQUIPMENT INDICATOR </t>
        </is>
      </c>
      <c r="T1" s="5" t="inlineStr">
        <is>
          <t xml:space="preserve">BOM HEADER  NUMBER  </t>
        </is>
      </c>
      <c r="U1" s="5" t="inlineStr">
        <is>
          <t>QUANTITY</t>
        </is>
      </c>
      <c r="V1" s="5" t="inlineStr">
        <is>
          <t>POSITION NUMBER</t>
        </is>
      </c>
      <c r="W1" s="3" t="inlineStr">
        <is>
          <t>CDC_SPIR NUMBER</t>
        </is>
      </c>
      <c r="X1" s="5" t="inlineStr">
        <is>
          <t>DELIVERY TIME IN WEEKS</t>
        </is>
      </c>
      <c r="Y1" s="5" t="inlineStr">
        <is>
          <t>MANUFACTURER COUNTRY CODE</t>
        </is>
      </c>
      <c r="Z1" s="5" t="inlineStr">
        <is>
          <t>MM REQUIREMENT MATERIAL TYPE</t>
        </is>
      </c>
      <c r="AA1" s="5" t="inlineStr">
        <is>
          <t xml:space="preserve">MM REQUIREMENT MATERIAL GROUP </t>
        </is>
      </c>
      <c r="AB1" s="5" t="inlineStr">
        <is>
          <t>MM REQUIREMENT MOVING AVERAGE PRICE</t>
        </is>
      </c>
      <c r="AC1" s="5" t="inlineStr">
        <is>
          <t>PO TEXT</t>
        </is>
      </c>
      <c r="AD1" s="6" t="inlineStr">
        <is>
          <t>CDC_ADD INFORMATION</t>
        </is>
      </c>
      <c r="AE1" s="6" t="inlineStr">
        <is>
          <t xml:space="preserve">REORDER POINT (MINIMUM QTY) </t>
        </is>
      </c>
      <c r="AF1" s="6" t="inlineStr">
        <is>
          <t>MAXIMUM STOCK LEVEL(MAX QTY)</t>
        </is>
      </c>
      <c r="AG1" s="6" t="inlineStr">
        <is>
          <t>ASSEMBLY</t>
        </is>
      </c>
      <c r="AH1" s="7" t="inlineStr">
        <is>
          <t>MANUFACTURER COUNTRY NAME</t>
        </is>
      </c>
      <c r="AI1" s="1" t="inlineStr">
        <is>
          <t>CURRENCY CODE REF</t>
        </is>
      </c>
      <c r="AJ1" s="7" t="inlineStr">
        <is>
          <t>BOM HEADER-REMARKS</t>
        </is>
      </c>
      <c r="AK1" s="8" t="inlineStr">
        <is>
          <t>PRD NAME</t>
        </is>
      </c>
      <c r="AL1" s="9" t="inlineStr">
        <is>
          <t>PRD DATE 
DD-MM-YYYY</t>
        </is>
      </c>
      <c r="AM1" s="8" t="inlineStr">
        <is>
          <t>SELF QC</t>
        </is>
      </c>
      <c r="AN1" s="8" t="inlineStr">
        <is>
          <t>LEAD QC  NAME</t>
        </is>
      </c>
      <c r="AO1" s="9" t="inlineStr">
        <is>
          <t>LEAD QC DATE 
DD-MM-YYYY</t>
        </is>
      </c>
      <c r="AP1" s="8" t="inlineStr">
        <is>
          <t>TEAM LEAD QC</t>
        </is>
      </c>
    </row>
    <row r="2" ht="33.75" customFormat="1" customHeight="1" s="12">
      <c r="A2" s="11" t="inlineStr">
        <is>
          <t>NA</t>
        </is>
      </c>
      <c r="B2" s="11" t="inlineStr">
        <is>
          <t>SAP_MATNR</t>
        </is>
      </c>
      <c r="C2" s="11" t="inlineStr">
        <is>
          <t>MATNR</t>
        </is>
      </c>
      <c r="D2" s="11" t="inlineStr">
        <is>
          <t>POSTP</t>
        </is>
      </c>
      <c r="E2" s="11" t="inlineStr">
        <is>
          <t>EXTMATNR</t>
        </is>
      </c>
      <c r="F2" s="11" t="inlineStr">
        <is>
          <t>NA</t>
        </is>
      </c>
      <c r="G2" s="11" t="inlineStr">
        <is>
          <t>BISMT</t>
        </is>
      </c>
      <c r="H2" s="11" t="inlineStr">
        <is>
          <t>NA</t>
        </is>
      </c>
      <c r="I2" s="11" t="inlineStr">
        <is>
          <t>MAKTX</t>
        </is>
      </c>
      <c r="J2" s="11" t="inlineStr">
        <is>
          <t>NA</t>
        </is>
      </c>
      <c r="K2" s="11" t="inlineStr">
        <is>
          <t>IWERK</t>
        </is>
      </c>
      <c r="L2" s="11" t="inlineStr">
        <is>
          <t>MEINS</t>
        </is>
      </c>
      <c r="M2" s="11" t="inlineStr">
        <is>
          <t>MFPRN</t>
        </is>
      </c>
      <c r="N2" s="11" t="inlineStr">
        <is>
          <t>NA</t>
        </is>
      </c>
      <c r="O2" s="11" t="inlineStr">
        <is>
          <t>MFRNR</t>
        </is>
      </c>
      <c r="P2" s="11" t="inlineStr">
        <is>
          <t>NA</t>
        </is>
      </c>
      <c r="Q2" s="11" t="inlineStr">
        <is>
          <t>EISBE</t>
        </is>
      </c>
      <c r="R2" s="11" t="inlineStr">
        <is>
          <t>ABC</t>
        </is>
      </c>
      <c r="S2" s="11" t="inlineStr">
        <is>
          <t>SUBMT</t>
        </is>
      </c>
      <c r="T2" s="11" t="inlineStr">
        <is>
          <t>BOM_PART_EQUIP</t>
        </is>
      </c>
      <c r="U2" s="11" t="inlineStr">
        <is>
          <t>MENGE</t>
        </is>
      </c>
      <c r="V2" s="11" t="inlineStr">
        <is>
          <t>POSNR</t>
        </is>
      </c>
      <c r="W2" s="11" t="inlineStr">
        <is>
          <t>CDC_SPIR NUMBER</t>
        </is>
      </c>
      <c r="X2" s="11" t="inlineStr">
        <is>
          <t xml:space="preserve">LEAD TIME </t>
        </is>
      </c>
      <c r="Y2" s="11" t="inlineStr">
        <is>
          <t>HERLD</t>
        </is>
      </c>
      <c r="Z2" s="11" t="inlineStr">
        <is>
          <t>MTART</t>
        </is>
      </c>
      <c r="AA2" s="11" t="inlineStr">
        <is>
          <t>MATKL</t>
        </is>
      </c>
      <c r="AB2" s="11" t="inlineStr">
        <is>
          <t>VERPR</t>
        </is>
      </c>
      <c r="AC2" s="11" t="inlineStr">
        <is>
          <t>PO TEXT</t>
        </is>
      </c>
      <c r="AD2" s="11" t="inlineStr">
        <is>
          <t>CDC_ADD INFO</t>
        </is>
      </c>
      <c r="AE2" s="11" t="inlineStr">
        <is>
          <t>MINBE</t>
        </is>
      </c>
      <c r="AF2" s="11" t="inlineStr">
        <is>
          <t>MABST</t>
        </is>
      </c>
      <c r="AG2" s="11" t="inlineStr">
        <is>
          <t>ASSY SUBMT</t>
        </is>
      </c>
      <c r="AH2" s="11" t="inlineStr">
        <is>
          <t>COUNTRY NAME</t>
        </is>
      </c>
      <c r="AI2" s="11" t="inlineStr">
        <is>
          <t>CURRENCY</t>
        </is>
      </c>
      <c r="AJ2" s="11" t="inlineStr">
        <is>
          <t>REMARKS</t>
        </is>
      </c>
      <c r="AK2" s="11" t="inlineStr">
        <is>
          <t>NAME</t>
        </is>
      </c>
      <c r="AL2" s="11" t="inlineStr">
        <is>
          <t>DD-MM-YYYY</t>
        </is>
      </c>
      <c r="AM2" s="11" t="inlineStr">
        <is>
          <t>SELF QC</t>
        </is>
      </c>
      <c r="AN2" s="11" t="inlineStr">
        <is>
          <t>NAME</t>
        </is>
      </c>
      <c r="AO2" s="11" t="inlineStr">
        <is>
          <t>DD-MM-YYYY</t>
        </is>
      </c>
      <c r="AP2" s="11" t="inlineStr">
        <is>
          <t>TEAM LEAD QC</t>
        </is>
      </c>
    </row>
    <row r="3">
      <c r="A3" s="13" t="n">
        <v>4</v>
      </c>
      <c r="B3" s="13" t="n">
        <v>8</v>
      </c>
      <c r="C3" s="13" t="n">
        <v>8</v>
      </c>
      <c r="D3" s="13" t="n">
        <v>1</v>
      </c>
      <c r="E3" s="13" t="n">
        <v>4</v>
      </c>
      <c r="F3" s="13" t="n"/>
      <c r="G3" s="13" t="n">
        <v>18</v>
      </c>
      <c r="H3" s="13" t="n">
        <v>18</v>
      </c>
      <c r="I3" s="13" t="n">
        <v>40</v>
      </c>
      <c r="J3" s="13" t="n">
        <v>40</v>
      </c>
      <c r="K3" s="13" t="n">
        <v>4</v>
      </c>
      <c r="L3" s="13" t="n">
        <v>3</v>
      </c>
      <c r="M3" s="13" t="n">
        <v>35</v>
      </c>
      <c r="N3" s="13" t="n">
        <v>35</v>
      </c>
      <c r="O3" s="13" t="n">
        <v>30</v>
      </c>
      <c r="P3" s="13" t="n">
        <v>30</v>
      </c>
      <c r="Q3" s="13" t="n">
        <v>50</v>
      </c>
      <c r="R3" s="13" t="n">
        <v>1</v>
      </c>
      <c r="S3" s="13" t="n">
        <v>3</v>
      </c>
      <c r="T3" s="13" t="n">
        <v>8</v>
      </c>
      <c r="U3" s="13" t="n">
        <v>50</v>
      </c>
      <c r="V3" s="13" t="n">
        <v>4</v>
      </c>
      <c r="W3" s="13" t="n">
        <v>25</v>
      </c>
      <c r="X3" s="13" t="n">
        <v>40</v>
      </c>
      <c r="Y3" s="13" t="n">
        <v>3</v>
      </c>
      <c r="Z3" s="13" t="n">
        <v>4</v>
      </c>
      <c r="AA3" s="13" t="n">
        <v>4</v>
      </c>
      <c r="AB3" s="13" t="n">
        <v>11</v>
      </c>
      <c r="AC3" s="13" t="n">
        <v>255</v>
      </c>
      <c r="AD3" s="13" t="n">
        <v>255</v>
      </c>
      <c r="AE3" s="13" t="inlineStr">
        <is>
          <t>LONG INTEGER</t>
        </is>
      </c>
      <c r="AF3" s="14" t="inlineStr">
        <is>
          <t>LONG INTEGER</t>
        </is>
      </c>
      <c r="AG3" s="13" t="n">
        <v>3</v>
      </c>
      <c r="AH3" s="13" t="n">
        <v>255</v>
      </c>
      <c r="AI3" s="13" t="n">
        <v>3</v>
      </c>
      <c r="AJ3" s="13" t="n">
        <v>255</v>
      </c>
      <c r="AK3" s="13" t="n">
        <v>255</v>
      </c>
      <c r="AL3" s="13" t="n">
        <v>10</v>
      </c>
      <c r="AM3" s="13" t="n">
        <v>255</v>
      </c>
      <c r="AN3" s="13" t="n">
        <v>255</v>
      </c>
      <c r="AO3" s="13" t="n">
        <v>10</v>
      </c>
      <c r="AP3" s="13" t="n">
        <v>255</v>
      </c>
    </row>
    <row r="4">
      <c r="A4" s="15" t="inlineStr">
        <is>
          <t>NA</t>
        </is>
      </c>
      <c r="B4" s="15" t="inlineStr">
        <is>
          <t>NA</t>
        </is>
      </c>
      <c r="C4" s="15" t="inlineStr">
        <is>
          <t>NA</t>
        </is>
      </c>
      <c r="D4" s="15" t="inlineStr">
        <is>
          <t>T418</t>
        </is>
      </c>
      <c r="E4" s="15" t="inlineStr">
        <is>
          <t>NA</t>
        </is>
      </c>
      <c r="F4" s="15" t="n"/>
      <c r="G4" s="15" t="inlineStr">
        <is>
          <t>NA</t>
        </is>
      </c>
      <c r="H4" s="15" t="inlineStr">
        <is>
          <t>NA</t>
        </is>
      </c>
      <c r="I4" s="15" t="inlineStr">
        <is>
          <t>NA</t>
        </is>
      </c>
      <c r="J4" s="15" t="inlineStr">
        <is>
          <t>NA</t>
        </is>
      </c>
      <c r="K4" s="15" t="inlineStr">
        <is>
          <t>T399I</t>
        </is>
      </c>
      <c r="L4" s="15" t="inlineStr">
        <is>
          <t xml:space="preserve">T006 </t>
        </is>
      </c>
      <c r="M4" s="15" t="inlineStr">
        <is>
          <t>REFERENCE-ANEXURE1-MANUFACTURER PART NUMBER</t>
        </is>
      </c>
      <c r="N4" s="15" t="inlineStr">
        <is>
          <t>NA</t>
        </is>
      </c>
      <c r="O4" s="15" t="inlineStr">
        <is>
          <t>REFERENCE-ANEXURE1-MANUFACTURER NAME</t>
        </is>
      </c>
      <c r="P4" s="15" t="inlineStr">
        <is>
          <t>NA</t>
        </is>
      </c>
      <c r="Q4" s="15" t="inlineStr">
        <is>
          <t>NA</t>
        </is>
      </c>
      <c r="R4" s="15" t="inlineStr">
        <is>
          <t>NA</t>
        </is>
      </c>
      <c r="S4" s="15" t="inlineStr">
        <is>
          <t>YES/NO</t>
        </is>
      </c>
      <c r="T4" s="15" t="inlineStr">
        <is>
          <t>NA</t>
        </is>
      </c>
      <c r="U4" s="15" t="inlineStr">
        <is>
          <t>NA</t>
        </is>
      </c>
      <c r="V4" s="15" t="inlineStr">
        <is>
          <t>NA</t>
        </is>
      </c>
      <c r="W4" s="15" t="inlineStr">
        <is>
          <t>NA</t>
        </is>
      </c>
      <c r="X4" s="15" t="inlineStr">
        <is>
          <t>NA</t>
        </is>
      </c>
      <c r="Y4" s="15" t="inlineStr">
        <is>
          <t>T005</t>
        </is>
      </c>
      <c r="Z4" s="15" t="inlineStr">
        <is>
          <t>T134</t>
        </is>
      </c>
      <c r="AA4" s="15" t="inlineStr">
        <is>
          <t xml:space="preserve"> T023</t>
        </is>
      </c>
      <c r="AB4" s="15" t="inlineStr">
        <is>
          <t>NA</t>
        </is>
      </c>
      <c r="AC4" s="15" t="inlineStr">
        <is>
          <t>NA</t>
        </is>
      </c>
      <c r="AD4" s="15" t="inlineStr">
        <is>
          <t>NA</t>
        </is>
      </c>
      <c r="AE4" s="15" t="inlineStr">
        <is>
          <t>NA</t>
        </is>
      </c>
      <c r="AF4" s="15" t="inlineStr">
        <is>
          <t>NA</t>
        </is>
      </c>
      <c r="AG4" s="15" t="inlineStr">
        <is>
          <t>YES/NO</t>
        </is>
      </c>
      <c r="AH4" s="15" t="inlineStr">
        <is>
          <t>NA</t>
        </is>
      </c>
      <c r="AI4" s="15" t="inlineStr">
        <is>
          <t>NA</t>
        </is>
      </c>
      <c r="AJ4" s="15" t="inlineStr">
        <is>
          <t>NA</t>
        </is>
      </c>
      <c r="AK4" s="15" t="inlineStr">
        <is>
          <t>REFERENCE_NAME</t>
        </is>
      </c>
      <c r="AL4" s="15" t="inlineStr">
        <is>
          <t>NA</t>
        </is>
      </c>
      <c r="AM4" s="15" t="inlineStr">
        <is>
          <t>COMPLETED /INPROGRESS</t>
        </is>
      </c>
      <c r="AN4" s="15" t="inlineStr">
        <is>
          <t>REFERENCE_NAME</t>
        </is>
      </c>
      <c r="AO4" s="15" t="inlineStr">
        <is>
          <t>NA</t>
        </is>
      </c>
      <c r="AP4" s="15" t="inlineStr">
        <is>
          <t>COMPLETED /INPROGRESS</t>
        </is>
      </c>
    </row>
    <row r="5">
      <c r="A5" s="16" t="n">
        <v>1</v>
      </c>
      <c r="B5" s="17" t="n">
        <v>2</v>
      </c>
      <c r="C5" s="17" t="n">
        <v>3</v>
      </c>
      <c r="D5" s="17" t="n">
        <v>4</v>
      </c>
      <c r="E5" s="17" t="n">
        <v>5</v>
      </c>
      <c r="F5" s="17" t="n">
        <v>6</v>
      </c>
      <c r="G5" s="17" t="n">
        <v>7</v>
      </c>
      <c r="H5" s="18" t="n">
        <v>7.1</v>
      </c>
      <c r="I5" s="17" t="n">
        <v>8</v>
      </c>
      <c r="J5" s="18" t="n">
        <v>8.1</v>
      </c>
      <c r="K5" s="17" t="n">
        <v>9</v>
      </c>
      <c r="L5" s="17" t="n">
        <v>10</v>
      </c>
      <c r="M5" s="17" t="n">
        <v>11</v>
      </c>
      <c r="N5" s="18" t="n">
        <v>11.1</v>
      </c>
      <c r="O5" s="17" t="n">
        <v>12</v>
      </c>
      <c r="P5" s="18" t="n">
        <v>12.1</v>
      </c>
      <c r="Q5" s="17" t="n">
        <v>13</v>
      </c>
      <c r="R5" s="17" t="n">
        <v>14</v>
      </c>
      <c r="S5" s="17" t="n">
        <v>15</v>
      </c>
      <c r="T5" s="16" t="n">
        <v>16</v>
      </c>
      <c r="U5" s="16" t="n">
        <v>17</v>
      </c>
      <c r="V5" s="16" t="n">
        <v>18</v>
      </c>
      <c r="W5" s="17" t="n">
        <v>19</v>
      </c>
      <c r="X5" s="16" t="n">
        <v>20</v>
      </c>
      <c r="Y5" s="16" t="n">
        <v>21</v>
      </c>
      <c r="Z5" s="16" t="n">
        <v>22</v>
      </c>
      <c r="AA5" s="16" t="n">
        <v>23</v>
      </c>
      <c r="AB5" s="16" t="n">
        <v>24</v>
      </c>
      <c r="AC5" s="16" t="n">
        <v>25</v>
      </c>
      <c r="AD5" s="16" t="n">
        <v>26</v>
      </c>
      <c r="AE5" s="16" t="n">
        <v>27</v>
      </c>
      <c r="AF5" s="16" t="n">
        <v>28</v>
      </c>
      <c r="AG5" s="16" t="n">
        <v>29</v>
      </c>
      <c r="AH5" s="19" t="n">
        <v>30.1</v>
      </c>
      <c r="AI5" s="19" t="n">
        <v>30.2</v>
      </c>
      <c r="AJ5" s="19" t="n">
        <v>30.3</v>
      </c>
      <c r="AK5" s="19" t="n">
        <v>30.4</v>
      </c>
      <c r="AL5" s="19" t="n">
        <v>30.5</v>
      </c>
      <c r="AM5" s="19" t="n">
        <v>30.6</v>
      </c>
      <c r="AN5" s="19" t="n">
        <v>30.7</v>
      </c>
      <c r="AO5" s="19" t="n">
        <v>30.8</v>
      </c>
      <c r="AP5" s="19" t="n">
        <v>30.9</v>
      </c>
    </row>
    <row r="6">
      <c r="A6" s="26" t="n">
        <v>1</v>
      </c>
      <c r="B6" s="27" t="n"/>
      <c r="C6" s="26" t="n">
        <v>40001</v>
      </c>
      <c r="D6" s="26" t="inlineStr">
        <is>
          <t>B</t>
        </is>
      </c>
      <c r="E6" s="27" t="n"/>
      <c r="F6" s="27" t="n"/>
      <c r="G6" s="27" t="n"/>
      <c r="H6" s="28">
        <f>LEN(G6)</f>
        <v/>
      </c>
      <c r="I6" s="29" t="inlineStr">
        <is>
          <t>LV SWITCHGEAR</t>
        </is>
      </c>
      <c r="J6" s="28">
        <f>LEN(I6)</f>
        <v/>
      </c>
      <c r="K6" s="26" t="inlineStr">
        <is>
          <t>2300</t>
        </is>
      </c>
      <c r="L6" s="27" t="n"/>
      <c r="N6" s="28">
        <f>LEN(M6)</f>
        <v/>
      </c>
      <c r="O6" s="26" t="inlineStr">
        <is>
          <t>SCHNEIDER ELECTRIC</t>
        </is>
      </c>
      <c r="P6" s="28">
        <f>LEN(O6)</f>
        <v/>
      </c>
      <c r="Q6" s="27" t="n"/>
      <c r="R6" s="27" t="n"/>
      <c r="S6" s="26" t="inlineStr">
        <is>
          <t>YES</t>
        </is>
      </c>
      <c r="T6" s="26" t="n">
        <v>40001</v>
      </c>
      <c r="U6" s="26" t="n">
        <v>1</v>
      </c>
      <c r="V6" s="30" t="inlineStr">
        <is>
          <t>0010</t>
        </is>
      </c>
      <c r="W6" s="26" t="inlineStr">
        <is>
          <t>VEN-4391-M3TY-2-43-0003</t>
        </is>
      </c>
      <c r="X6" s="27" t="n"/>
      <c r="Y6" s="26" t="inlineStr">
        <is>
          <t>QA</t>
        </is>
      </c>
      <c r="Z6" s="27" t="n"/>
      <c r="AA6" s="27" t="n"/>
      <c r="AB6" s="27" t="n"/>
      <c r="AC6" s="27" t="n"/>
      <c r="AD6" s="27" t="n"/>
      <c r="AE6" s="27" t="n"/>
      <c r="AF6" s="27" t="n"/>
      <c r="AG6" s="27" t="n"/>
      <c r="AH6" s="26" t="inlineStr">
        <is>
          <t>QATAR</t>
        </is>
      </c>
      <c r="AI6" s="27" t="n"/>
      <c r="AJ6" s="27" t="n"/>
      <c r="AK6" s="27" t="n"/>
      <c r="AL6" s="27" t="n"/>
      <c r="AM6" s="27" t="n"/>
      <c r="AN6" s="27" t="n"/>
      <c r="AO6" s="27" t="n"/>
      <c r="AP6" s="27" t="n"/>
    </row>
    <row r="7">
      <c r="A7" s="26" t="n">
        <v>2</v>
      </c>
      <c r="B7" s="26" t="n">
        <v>10231307</v>
      </c>
      <c r="C7" s="26" t="n">
        <v>500001</v>
      </c>
      <c r="D7" s="26" t="inlineStr">
        <is>
          <t>L</t>
        </is>
      </c>
      <c r="E7" s="27" t="n"/>
      <c r="F7" s="27" t="n"/>
      <c r="G7" s="26" t="inlineStr">
        <is>
          <t>4391-2430003-01L01</t>
        </is>
      </c>
      <c r="H7" s="28">
        <f>LEN(G7)</f>
        <v/>
      </c>
      <c r="I7" s="26" t="inlineStr">
        <is>
          <t>HARMONY XB5 WHITE COMPLETE PILOT LIGHT Ø22 PLAIN LENS WITH INTEGRAL LED 110...120V AC,XB5AVG1,SCHNEIDER ELECTRIC</t>
        </is>
      </c>
      <c r="J7" s="28">
        <f>LEN(I7)</f>
        <v/>
      </c>
      <c r="K7" s="26" t="inlineStr">
        <is>
          <t>2300</t>
        </is>
      </c>
      <c r="L7" s="26" t="inlineStr">
        <is>
          <t>NO</t>
        </is>
      </c>
      <c r="M7" s="26" t="inlineStr">
        <is>
          <t>XB5AVG1</t>
        </is>
      </c>
      <c r="N7" s="28">
        <f>LEN(M7)</f>
        <v/>
      </c>
      <c r="O7" s="26" t="inlineStr">
        <is>
          <t>SCHNEIDER ELECTRIC</t>
        </is>
      </c>
      <c r="P7" s="28">
        <f>LEN(O7)</f>
        <v/>
      </c>
      <c r="Q7" s="27" t="n"/>
      <c r="R7" s="27" t="n"/>
      <c r="S7" s="26" t="inlineStr">
        <is>
          <t>NO</t>
        </is>
      </c>
      <c r="T7" s="26" t="n">
        <v>40001</v>
      </c>
      <c r="U7" s="26" t="n">
        <v>4</v>
      </c>
      <c r="V7" s="30" t="inlineStr">
        <is>
          <t>0010</t>
        </is>
      </c>
      <c r="W7" s="26" t="inlineStr">
        <is>
          <t>VEN-4391-M3TY-2-43-0003</t>
        </is>
      </c>
      <c r="X7" s="26" t="n">
        <v>20</v>
      </c>
      <c r="Y7" s="26" t="inlineStr">
        <is>
          <t>QA</t>
        </is>
      </c>
      <c r="Z7" s="27" t="n"/>
      <c r="AA7" s="27" t="n"/>
      <c r="AB7" s="31" t="n">
        <v>75.3</v>
      </c>
      <c r="AC7" s="27" t="n"/>
      <c r="AD7" s="27" t="n"/>
      <c r="AE7" s="26" t="n">
        <v>1</v>
      </c>
      <c r="AF7" s="27" t="n"/>
      <c r="AG7" s="27" t="n"/>
      <c r="AH7" s="26" t="inlineStr">
        <is>
          <t>QATAR</t>
        </is>
      </c>
      <c r="AI7" s="26" t="inlineStr">
        <is>
          <t>QAR</t>
        </is>
      </c>
      <c r="AJ7" s="27" t="n"/>
      <c r="AK7" s="27" t="n"/>
      <c r="AL7" s="27" t="n"/>
      <c r="AM7" s="27" t="n"/>
      <c r="AN7" s="27" t="n"/>
      <c r="AO7" s="27" t="n"/>
      <c r="AP7" s="27" t="n"/>
    </row>
    <row r="8">
      <c r="A8" s="26" t="n">
        <v>3</v>
      </c>
      <c r="B8" s="26" t="n">
        <v>10270999</v>
      </c>
      <c r="C8" s="26" t="n">
        <v>500002</v>
      </c>
      <c r="D8" s="26" t="inlineStr">
        <is>
          <t>L</t>
        </is>
      </c>
      <c r="E8" s="27" t="n"/>
      <c r="F8" s="27" t="n"/>
      <c r="G8" s="26" t="inlineStr">
        <is>
          <t>4391-2430003-01L02</t>
        </is>
      </c>
      <c r="H8" s="28">
        <f>LEN(G8)</f>
        <v/>
      </c>
      <c r="I8" s="26" t="inlineStr">
        <is>
          <t>HARMONY XB5 GREEN COMPLETE PILOT LIGHT Ø22 PLAIN LENS WITH INTEGRAL LED 110...120V AC,XB5AVG3,SCHNEIDER ELECTRIC</t>
        </is>
      </c>
      <c r="J8" s="26">
        <f>LEN(I8)</f>
        <v/>
      </c>
      <c r="K8" s="26" t="inlineStr">
        <is>
          <t>2300</t>
        </is>
      </c>
      <c r="L8" s="26" t="inlineStr">
        <is>
          <t>NO</t>
        </is>
      </c>
      <c r="M8" s="26" t="inlineStr">
        <is>
          <t>XB5AVG3</t>
        </is>
      </c>
      <c r="N8" s="26">
        <f>LEN(M8)</f>
        <v/>
      </c>
      <c r="O8" s="26" t="inlineStr">
        <is>
          <t>SCHNEIDER ELECTRIC</t>
        </is>
      </c>
      <c r="P8" s="26">
        <f>LEN(O8)</f>
        <v/>
      </c>
      <c r="Q8" s="27" t="n"/>
      <c r="R8" s="27" t="n"/>
      <c r="S8" s="26" t="inlineStr">
        <is>
          <t>NO</t>
        </is>
      </c>
      <c r="T8" s="26" t="n">
        <v>40001</v>
      </c>
      <c r="U8" s="26" t="n">
        <v>4</v>
      </c>
      <c r="V8" s="26" t="inlineStr">
        <is>
          <t>0020</t>
        </is>
      </c>
      <c r="W8" s="26" t="inlineStr">
        <is>
          <t>VEN-4391-M3TY-2-43-0003</t>
        </is>
      </c>
      <c r="X8" s="26" t="n">
        <v>20</v>
      </c>
      <c r="Y8" s="26" t="inlineStr">
        <is>
          <t>QA</t>
        </is>
      </c>
      <c r="Z8" s="27" t="n"/>
      <c r="AA8" s="27" t="n"/>
      <c r="AB8" s="26" t="n">
        <v>72.40000000000001</v>
      </c>
      <c r="AC8" s="27" t="n"/>
      <c r="AD8" s="27" t="n"/>
      <c r="AE8" s="26" t="n">
        <v>1</v>
      </c>
      <c r="AF8" s="27" t="n"/>
      <c r="AG8" s="27" t="n"/>
      <c r="AH8" s="26" t="inlineStr">
        <is>
          <t>QATAR</t>
        </is>
      </c>
      <c r="AI8" s="26" t="inlineStr">
        <is>
          <t>QAR</t>
        </is>
      </c>
      <c r="AJ8" s="27" t="n"/>
      <c r="AK8" s="27" t="n"/>
      <c r="AL8" s="27" t="n"/>
      <c r="AM8" s="27" t="n"/>
      <c r="AN8" s="27" t="n"/>
      <c r="AO8" s="27" t="n"/>
      <c r="AP8" s="27" t="n"/>
    </row>
    <row r="9">
      <c r="A9" s="26" t="n">
        <v>4</v>
      </c>
      <c r="B9" s="26" t="n">
        <v>10227189</v>
      </c>
      <c r="C9" s="26" t="n">
        <v>500003</v>
      </c>
      <c r="D9" s="26" t="inlineStr">
        <is>
          <t>L</t>
        </is>
      </c>
      <c r="G9" s="26" t="inlineStr">
        <is>
          <t>4391-2430003-01L03</t>
        </is>
      </c>
      <c r="H9" s="26">
        <f>LEN(G9)</f>
        <v/>
      </c>
      <c r="I9" s="26" t="inlineStr">
        <is>
          <t>HARMONY XB5 RED COMPLETE PILOT LIGHT Ø22 PLAIN LENS WITH INTEGRAL LED 110...120V AC,XB5AVG4,SCHNEIDER ELECTRIC</t>
        </is>
      </c>
      <c r="J9" s="26">
        <f>LEN(I9)</f>
        <v/>
      </c>
      <c r="K9" s="26" t="inlineStr">
        <is>
          <t>2300</t>
        </is>
      </c>
      <c r="L9" s="26" t="inlineStr">
        <is>
          <t>NO</t>
        </is>
      </c>
      <c r="M9" s="26" t="inlineStr">
        <is>
          <t>XB5AVG4</t>
        </is>
      </c>
      <c r="N9" s="26">
        <f>LEN(M9)</f>
        <v/>
      </c>
      <c r="O9" s="26" t="inlineStr">
        <is>
          <t>SCHNEIDER ELECTRIC</t>
        </is>
      </c>
      <c r="P9" s="26">
        <f>LEN(O9)</f>
        <v/>
      </c>
      <c r="S9" s="26" t="inlineStr">
        <is>
          <t>NO</t>
        </is>
      </c>
      <c r="T9" s="26" t="n">
        <v>40001</v>
      </c>
      <c r="U9" s="26" t="n">
        <v>4</v>
      </c>
      <c r="V9" s="26" t="inlineStr">
        <is>
          <t>0030</t>
        </is>
      </c>
      <c r="W9" s="26" t="inlineStr">
        <is>
          <t>VEN-4391-M3TY-2-43-0003</t>
        </is>
      </c>
      <c r="X9" s="26" t="n">
        <v>20</v>
      </c>
      <c r="Y9" s="26" t="inlineStr">
        <is>
          <t>QA</t>
        </is>
      </c>
      <c r="AB9" s="26" t="n">
        <v>69.8</v>
      </c>
      <c r="AE9" s="26" t="n">
        <v>1</v>
      </c>
      <c r="AH9" s="26" t="inlineStr">
        <is>
          <t>QATAR</t>
        </is>
      </c>
      <c r="AI9" s="26" t="inlineStr">
        <is>
          <t>QAR</t>
        </is>
      </c>
    </row>
    <row r="10">
      <c r="A10" s="26" t="n">
        <v>5</v>
      </c>
      <c r="B10" s="26" t="n">
        <v>10341796</v>
      </c>
      <c r="C10" s="26" t="n">
        <v>500004</v>
      </c>
      <c r="D10" s="26" t="inlineStr">
        <is>
          <t>L</t>
        </is>
      </c>
      <c r="G10" s="26" t="inlineStr">
        <is>
          <t>4391-2430003-01L04</t>
        </is>
      </c>
      <c r="H10" s="26">
        <f>LEN(G10)</f>
        <v/>
      </c>
      <c r="I10" s="26" t="inlineStr">
        <is>
          <t>HARMONY XB5 AMBER COMPLETE PILOT LIGHT Ø22 PLAIN LENS WITH INTEGRAL LED 110...120V AC,XB5AVG5,SCHNEIDER ELECTRIC</t>
        </is>
      </c>
      <c r="J10" s="26">
        <f>LEN(I10)</f>
        <v/>
      </c>
      <c r="K10" s="26" t="inlineStr">
        <is>
          <t>2300</t>
        </is>
      </c>
      <c r="L10" s="26" t="inlineStr">
        <is>
          <t>NO</t>
        </is>
      </c>
      <c r="M10" s="26" t="inlineStr">
        <is>
          <t>XB5AVG5</t>
        </is>
      </c>
      <c r="N10" s="26">
        <f>LEN(M10)</f>
        <v/>
      </c>
      <c r="O10" s="26" t="inlineStr">
        <is>
          <t>SCHNEIDER ELECTRIC</t>
        </is>
      </c>
      <c r="P10" s="26">
        <f>LEN(O10)</f>
        <v/>
      </c>
      <c r="S10" s="26" t="inlineStr">
        <is>
          <t>NO</t>
        </is>
      </c>
      <c r="T10" s="26" t="n">
        <v>40001</v>
      </c>
      <c r="U10" s="26" t="n">
        <v>4</v>
      </c>
      <c r="V10" s="26" t="inlineStr">
        <is>
          <t>0040</t>
        </is>
      </c>
      <c r="W10" s="26" t="inlineStr">
        <is>
          <t>VEN-4391-M3TY-2-43-0003</t>
        </is>
      </c>
      <c r="X10" s="26" t="n">
        <v>20</v>
      </c>
      <c r="Y10" s="26" t="inlineStr">
        <is>
          <t>QA</t>
        </is>
      </c>
      <c r="AB10" s="26" t="n">
        <v>67.2</v>
      </c>
      <c r="AE10" s="26" t="n">
        <v>1</v>
      </c>
      <c r="AH10" s="26" t="inlineStr">
        <is>
          <t>QATAR</t>
        </is>
      </c>
      <c r="AI10" s="26" t="inlineStr">
        <is>
          <t>QAR</t>
        </is>
      </c>
    </row>
    <row r="11">
      <c r="A11" s="26" t="n">
        <v>6</v>
      </c>
      <c r="B11" s="26" t="n">
        <v>10174201</v>
      </c>
      <c r="C11" s="26" t="n">
        <v>500005</v>
      </c>
      <c r="D11" s="26" t="inlineStr">
        <is>
          <t>L</t>
        </is>
      </c>
      <c r="G11" s="26" t="inlineStr">
        <is>
          <t>4391-2430003-01L05</t>
        </is>
      </c>
      <c r="H11" s="26">
        <f>LEN(G11)</f>
        <v/>
      </c>
      <c r="I11" s="26" t="inlineStr">
        <is>
          <t>ZELIO RXM MINIATURE RELAY, 4 CO, ITH=6A, WITHOUT LED INDICATION, 120 VAC,RXM4AB1F7,SCHNEIDER ELECTRIC</t>
        </is>
      </c>
      <c r="J11" s="26">
        <f>LEN(I11)</f>
        <v/>
      </c>
      <c r="K11" s="26" t="inlineStr">
        <is>
          <t>2300</t>
        </is>
      </c>
      <c r="L11" s="26" t="inlineStr">
        <is>
          <t>NO</t>
        </is>
      </c>
      <c r="M11" s="26" t="inlineStr">
        <is>
          <t>RXM4AB1F7</t>
        </is>
      </c>
      <c r="N11" s="26">
        <f>LEN(M11)</f>
        <v/>
      </c>
      <c r="O11" s="26" t="inlineStr">
        <is>
          <t>SCHNEIDER ELECTRIC</t>
        </is>
      </c>
      <c r="P11" s="26">
        <f>LEN(O11)</f>
        <v/>
      </c>
      <c r="S11" s="26" t="inlineStr">
        <is>
          <t>NO</t>
        </is>
      </c>
      <c r="T11" s="26" t="n">
        <v>40001</v>
      </c>
      <c r="U11" s="26" t="n">
        <v>16</v>
      </c>
      <c r="V11" s="26" t="inlineStr">
        <is>
          <t>0050</t>
        </is>
      </c>
      <c r="W11" s="26" t="inlineStr">
        <is>
          <t>VEN-4391-M3TY-2-43-0003</t>
        </is>
      </c>
      <c r="X11" s="26" t="n">
        <v>20</v>
      </c>
      <c r="Y11" s="26" t="inlineStr">
        <is>
          <t>QA</t>
        </is>
      </c>
      <c r="AB11" s="26" t="n">
        <v>35.94</v>
      </c>
      <c r="AE11" s="26" t="n">
        <v>2</v>
      </c>
      <c r="AH11" s="26" t="inlineStr">
        <is>
          <t>QATAR</t>
        </is>
      </c>
      <c r="AI11" s="26" t="inlineStr">
        <is>
          <t>QAR</t>
        </is>
      </c>
    </row>
    <row r="12">
      <c r="A12" s="26" t="n">
        <v>7</v>
      </c>
      <c r="B12" s="26" t="n">
        <v>10305370</v>
      </c>
      <c r="C12" s="26" t="n">
        <v>500006</v>
      </c>
      <c r="D12" s="26" t="inlineStr">
        <is>
          <t>L</t>
        </is>
      </c>
      <c r="G12" s="26" t="inlineStr">
        <is>
          <t>4391-2430003-01L06</t>
        </is>
      </c>
      <c r="H12" s="26">
        <f>LEN(G12)</f>
        <v/>
      </c>
      <c r="I12" s="26" t="inlineStr">
        <is>
          <t>ZELIO SOCKET RXZ - MIXED CONTACT, 10A - &lt; 250V - CONNECTOR - FOR RELAY RXM2.., RXM4..,RXZE2M114M,SCHNEIDER ELECTRIC</t>
        </is>
      </c>
      <c r="J12" s="26">
        <f>LEN(I12)</f>
        <v/>
      </c>
      <c r="K12" s="26" t="inlineStr">
        <is>
          <t>2300</t>
        </is>
      </c>
      <c r="L12" s="26" t="inlineStr">
        <is>
          <t>NO</t>
        </is>
      </c>
      <c r="M12" s="26" t="inlineStr">
        <is>
          <t>RXZE2M114M</t>
        </is>
      </c>
      <c r="N12" s="26">
        <f>LEN(M12)</f>
        <v/>
      </c>
      <c r="O12" s="26" t="inlineStr">
        <is>
          <t>SCHNEIDER ELECTRIC</t>
        </is>
      </c>
      <c r="P12" s="26">
        <f>LEN(O12)</f>
        <v/>
      </c>
      <c r="S12" s="26" t="inlineStr">
        <is>
          <t>NO</t>
        </is>
      </c>
      <c r="T12" s="26" t="n">
        <v>40001</v>
      </c>
      <c r="U12" s="26" t="n">
        <v>16</v>
      </c>
      <c r="V12" s="26" t="inlineStr">
        <is>
          <t>0060</t>
        </is>
      </c>
      <c r="W12" s="26" t="inlineStr">
        <is>
          <t>VEN-4391-M3TY-2-43-0003</t>
        </is>
      </c>
      <c r="X12" s="26" t="n">
        <v>20</v>
      </c>
      <c r="Y12" s="26" t="inlineStr">
        <is>
          <t>QA</t>
        </is>
      </c>
      <c r="AB12" s="26" t="n">
        <v>18.42</v>
      </c>
      <c r="AE12" s="26" t="n">
        <v>3</v>
      </c>
      <c r="AH12" s="26" t="inlineStr">
        <is>
          <t>QATAR</t>
        </is>
      </c>
      <c r="AI12" s="26" t="inlineStr">
        <is>
          <t>QAR</t>
        </is>
      </c>
    </row>
    <row r="13">
      <c r="A13" s="26" t="n">
        <v>8</v>
      </c>
      <c r="B13" s="26" t="n">
        <v>10319351</v>
      </c>
      <c r="C13" s="26" t="n">
        <v>500007</v>
      </c>
      <c r="D13" s="26" t="inlineStr">
        <is>
          <t>L</t>
        </is>
      </c>
      <c r="G13" s="26" t="inlineStr">
        <is>
          <t>4391-2430003-01L07</t>
        </is>
      </c>
      <c r="H13" s="26">
        <f>LEN(G13)</f>
        <v/>
      </c>
      <c r="I13" s="26" t="inlineStr">
        <is>
          <t>MOTOR CONTROLLER LTM R TESYS T - 100..240 V AC, 5...100 A FOR MODBUS,LTMR100MFM,SCHNEIDER ELECTRIC</t>
        </is>
      </c>
      <c r="J13" s="26">
        <f>LEN(I13)</f>
        <v/>
      </c>
      <c r="K13" s="26" t="inlineStr">
        <is>
          <t>2300</t>
        </is>
      </c>
      <c r="L13" s="26" t="inlineStr">
        <is>
          <t>NO</t>
        </is>
      </c>
      <c r="M13" s="26" t="inlineStr">
        <is>
          <t>LTMR100MFM</t>
        </is>
      </c>
      <c r="N13" s="26">
        <f>LEN(M13)</f>
        <v/>
      </c>
      <c r="O13" s="26" t="inlineStr">
        <is>
          <t>SCHNEIDER ELECTRIC</t>
        </is>
      </c>
      <c r="P13" s="26">
        <f>LEN(O13)</f>
        <v/>
      </c>
      <c r="S13" s="26" t="inlineStr">
        <is>
          <t>NO</t>
        </is>
      </c>
      <c r="T13" s="26" t="n">
        <v>40001</v>
      </c>
      <c r="U13" s="26" t="n">
        <v>4</v>
      </c>
      <c r="V13" s="26" t="inlineStr">
        <is>
          <t>0070</t>
        </is>
      </c>
      <c r="W13" s="26" t="inlineStr">
        <is>
          <t>VEN-4391-M3TY-2-43-0003</t>
        </is>
      </c>
      <c r="X13" s="26" t="n">
        <v>20</v>
      </c>
      <c r="Y13" s="26" t="inlineStr">
        <is>
          <t>QA</t>
        </is>
      </c>
      <c r="AB13" s="26" t="n">
        <v>1872.4</v>
      </c>
      <c r="AE13" s="26" t="n">
        <v>2</v>
      </c>
      <c r="AH13" s="26" t="inlineStr">
        <is>
          <t>QATAR</t>
        </is>
      </c>
      <c r="AI13" s="26" t="inlineStr">
        <is>
          <t>QAR</t>
        </is>
      </c>
    </row>
    <row r="14">
      <c r="A14" s="26" t="n">
        <v>9</v>
      </c>
      <c r="B14" s="26" t="n">
        <v>10343706</v>
      </c>
      <c r="C14" s="26" t="n">
        <v>500008</v>
      </c>
      <c r="D14" s="26" t="inlineStr">
        <is>
          <t>L</t>
        </is>
      </c>
      <c r="G14" s="26" t="inlineStr">
        <is>
          <t>4391-2430003-01L08</t>
        </is>
      </c>
      <c r="H14" s="26">
        <f>LEN(G14)</f>
        <v/>
      </c>
      <c r="I14" s="26" t="inlineStr">
        <is>
          <t>EXTENSION MODULE LTM E TESYS T - 100..240 V AC,LTMEV40FM,SCHNEIDER ELECTRIC</t>
        </is>
      </c>
      <c r="J14" s="26">
        <f>LEN(I14)</f>
        <v/>
      </c>
      <c r="K14" s="26" t="inlineStr">
        <is>
          <t>2300</t>
        </is>
      </c>
      <c r="L14" s="26" t="inlineStr">
        <is>
          <t>NO</t>
        </is>
      </c>
      <c r="M14" s="26" t="inlineStr">
        <is>
          <t>LTMEV40FM</t>
        </is>
      </c>
      <c r="N14" s="26">
        <f>LEN(M14)</f>
        <v/>
      </c>
      <c r="O14" s="26" t="inlineStr">
        <is>
          <t>SCHNEIDER ELECTRIC</t>
        </is>
      </c>
      <c r="P14" s="26">
        <f>LEN(O14)</f>
        <v/>
      </c>
      <c r="S14" s="26" t="inlineStr">
        <is>
          <t>NO</t>
        </is>
      </c>
      <c r="T14" s="26" t="n">
        <v>40001</v>
      </c>
      <c r="U14" s="26" t="n">
        <v>4</v>
      </c>
      <c r="V14" s="26" t="inlineStr">
        <is>
          <t>0080</t>
        </is>
      </c>
      <c r="W14" s="26" t="inlineStr">
        <is>
          <t>VEN-4391-M3TY-2-43-0003</t>
        </is>
      </c>
      <c r="X14" s="26" t="n">
        <v>20</v>
      </c>
      <c r="Y14" s="26" t="inlineStr">
        <is>
          <t>QA</t>
        </is>
      </c>
      <c r="AB14" s="26" t="n">
        <v>698.3</v>
      </c>
      <c r="AE14" s="26" t="n">
        <v>2</v>
      </c>
      <c r="AH14" s="26" t="inlineStr">
        <is>
          <t>QATAR</t>
        </is>
      </c>
      <c r="AI14" s="26" t="inlineStr">
        <is>
          <t>QAR</t>
        </is>
      </c>
    </row>
    <row r="15">
      <c r="A15" s="26" t="n">
        <v>10</v>
      </c>
      <c r="B15" s="26" t="n">
        <v>10340165</v>
      </c>
      <c r="C15" s="26" t="n">
        <v>500009</v>
      </c>
      <c r="D15" s="26" t="inlineStr">
        <is>
          <t>L</t>
        </is>
      </c>
      <c r="G15" s="26" t="inlineStr">
        <is>
          <t>4391-2430003-01L09</t>
        </is>
      </c>
      <c r="H15" s="26">
        <f>LEN(G15)</f>
        <v/>
      </c>
      <c r="I15" s="26" t="inlineStr">
        <is>
          <t>OPERATOR CONTROL UNIT LTM CU TESYS T,LTMCU,SCHNEIDER ELECTRIC</t>
        </is>
      </c>
      <c r="J15" s="26">
        <f>LEN(I15)</f>
        <v/>
      </c>
      <c r="K15" s="26" t="inlineStr">
        <is>
          <t>2300</t>
        </is>
      </c>
      <c r="L15" s="26" t="inlineStr">
        <is>
          <t>NO</t>
        </is>
      </c>
      <c r="M15" s="26" t="inlineStr">
        <is>
          <t>LTMCU</t>
        </is>
      </c>
      <c r="N15" s="26">
        <f>LEN(M15)</f>
        <v/>
      </c>
      <c r="O15" s="26" t="inlineStr">
        <is>
          <t>SCHNEIDER ELECTRIC</t>
        </is>
      </c>
      <c r="P15" s="26">
        <f>LEN(O15)</f>
        <v/>
      </c>
      <c r="S15" s="26" t="inlineStr">
        <is>
          <t>NO</t>
        </is>
      </c>
      <c r="T15" s="26" t="n">
        <v>40001</v>
      </c>
      <c r="U15" s="26" t="n">
        <v>4</v>
      </c>
      <c r="V15" s="26" t="inlineStr">
        <is>
          <t>0090</t>
        </is>
      </c>
      <c r="W15" s="26" t="inlineStr">
        <is>
          <t>VEN-4391-M3TY-2-43-0003</t>
        </is>
      </c>
      <c r="X15" s="26" t="n">
        <v>20</v>
      </c>
      <c r="Y15" s="26" t="inlineStr">
        <is>
          <t>QA</t>
        </is>
      </c>
      <c r="AB15" s="26" t="n">
        <v>923.05</v>
      </c>
      <c r="AE15" s="26" t="n">
        <v>2</v>
      </c>
      <c r="AH15" s="26" t="inlineStr">
        <is>
          <t>QATAR</t>
        </is>
      </c>
      <c r="AI15" s="26" t="inlineStr">
        <is>
          <t>QAR</t>
        </is>
      </c>
    </row>
    <row r="16">
      <c r="A16" s="26" t="n">
        <v>11</v>
      </c>
      <c r="B16" s="26" t="n">
        <v>10389800</v>
      </c>
      <c r="C16" s="26" t="n">
        <v>500010</v>
      </c>
      <c r="D16" s="26" t="inlineStr">
        <is>
          <t>L</t>
        </is>
      </c>
      <c r="G16" s="26" t="inlineStr">
        <is>
          <t>4391-2430003-01L10</t>
        </is>
      </c>
      <c r="H16" s="26">
        <f>LEN(G16)</f>
        <v/>
      </c>
      <c r="I16" s="26" t="inlineStr">
        <is>
          <t>MINIATURE CIRCUIT BREAKER IC60H, 2P, 6A, C,A9F84206,SCHNEIDER ELECTRIC</t>
        </is>
      </c>
      <c r="J16" s="26">
        <f>LEN(I16)</f>
        <v/>
      </c>
      <c r="K16" s="26" t="inlineStr">
        <is>
          <t>2300</t>
        </is>
      </c>
      <c r="L16" s="26" t="inlineStr">
        <is>
          <t>NO</t>
        </is>
      </c>
      <c r="M16" s="26" t="inlineStr">
        <is>
          <t>A9F84206</t>
        </is>
      </c>
      <c r="N16" s="26">
        <f>LEN(M16)</f>
        <v/>
      </c>
      <c r="O16" s="26" t="inlineStr">
        <is>
          <t>SCHNEIDER ELECTRIC</t>
        </is>
      </c>
      <c r="P16" s="26">
        <f>LEN(O16)</f>
        <v/>
      </c>
      <c r="S16" s="26" t="inlineStr">
        <is>
          <t>NO</t>
        </is>
      </c>
      <c r="T16" s="26" t="n">
        <v>40001</v>
      </c>
      <c r="U16" s="26" t="n">
        <v>4</v>
      </c>
      <c r="V16" s="26" t="inlineStr">
        <is>
          <t>0100</t>
        </is>
      </c>
      <c r="W16" s="26" t="inlineStr">
        <is>
          <t>VEN-4391-M3TY-2-43-0003</t>
        </is>
      </c>
      <c r="X16" s="26" t="n">
        <v>20</v>
      </c>
      <c r="Y16" s="26" t="inlineStr">
        <is>
          <t>QA</t>
        </is>
      </c>
      <c r="AB16" s="26" t="n">
        <v>64</v>
      </c>
      <c r="AE16" s="26" t="n">
        <v>1</v>
      </c>
      <c r="AH16" s="26" t="inlineStr">
        <is>
          <t>QATAR</t>
        </is>
      </c>
      <c r="AI16" s="26" t="inlineStr">
        <is>
          <t>QAR</t>
        </is>
      </c>
    </row>
    <row r="17">
      <c r="A17" s="26" t="n">
        <v>12</v>
      </c>
      <c r="B17" s="26" t="n">
        <v>10633065</v>
      </c>
      <c r="C17" s="26" t="n">
        <v>500011</v>
      </c>
      <c r="D17" s="26" t="inlineStr">
        <is>
          <t>L</t>
        </is>
      </c>
      <c r="G17" s="26" t="inlineStr">
        <is>
          <t>4391-2430003-01L11</t>
        </is>
      </c>
      <c r="H17" s="26">
        <f>LEN(G17)</f>
        <v/>
      </c>
      <c r="I17" s="26" t="inlineStr">
        <is>
          <t>MINIATURE CIRCUIT BREAKER IC60L, 2P, 4A, C,A9F94204,SCHNEIDER ELECTRIC</t>
        </is>
      </c>
      <c r="J17" s="26">
        <f>LEN(I17)</f>
        <v/>
      </c>
      <c r="K17" s="26" t="inlineStr">
        <is>
          <t>2300</t>
        </is>
      </c>
      <c r="L17" s="26" t="inlineStr">
        <is>
          <t>NO</t>
        </is>
      </c>
      <c r="M17" s="26" t="inlineStr">
        <is>
          <t>A9F94204</t>
        </is>
      </c>
      <c r="N17" s="26">
        <f>LEN(M17)</f>
        <v/>
      </c>
      <c r="O17" s="26" t="inlineStr">
        <is>
          <t>SCHNEIDER ELECTRIC</t>
        </is>
      </c>
      <c r="P17" s="26">
        <f>LEN(O17)</f>
        <v/>
      </c>
      <c r="S17" s="26" t="inlineStr">
        <is>
          <t>NO</t>
        </is>
      </c>
      <c r="T17" s="26" t="n">
        <v>40001</v>
      </c>
      <c r="U17" s="26" t="n">
        <v>4</v>
      </c>
      <c r="V17" s="26" t="inlineStr">
        <is>
          <t>0110</t>
        </is>
      </c>
      <c r="W17" s="26" t="inlineStr">
        <is>
          <t>VEN-4391-M3TY-2-43-0003</t>
        </is>
      </c>
      <c r="X17" s="26" t="n">
        <v>20</v>
      </c>
      <c r="Y17" s="26" t="inlineStr">
        <is>
          <t>QA</t>
        </is>
      </c>
      <c r="AB17" s="26" t="n">
        <v>522.4</v>
      </c>
      <c r="AE17" s="26" t="n">
        <v>1</v>
      </c>
      <c r="AH17" s="26" t="inlineStr">
        <is>
          <t>QATAR</t>
        </is>
      </c>
      <c r="AI17" s="26" t="inlineStr">
        <is>
          <t>QAR</t>
        </is>
      </c>
    </row>
    <row r="18">
      <c r="A18" s="26" t="n">
        <v>13</v>
      </c>
      <c r="B18" s="26" t="n">
        <v>10093780</v>
      </c>
      <c r="C18" s="26" t="n">
        <v>500012</v>
      </c>
      <c r="D18" s="26" t="inlineStr">
        <is>
          <t>L</t>
        </is>
      </c>
      <c r="G18" s="26" t="inlineStr">
        <is>
          <t>4391-2430003-01L12</t>
        </is>
      </c>
      <c r="H18" s="26">
        <f>LEN(G18)</f>
        <v/>
      </c>
      <c r="I18" s="26" t="inlineStr">
        <is>
          <t>CONTACTOR TESYS LC1-D - 3P - AC-3 440V 80 A, COIL 110 V AC,LC1D80F7,SCHNEIDER ELECTRIC</t>
        </is>
      </c>
      <c r="J18" s="26">
        <f>LEN(I18)</f>
        <v/>
      </c>
      <c r="K18" s="26" t="inlineStr">
        <is>
          <t>2300</t>
        </is>
      </c>
      <c r="L18" s="26" t="inlineStr">
        <is>
          <t>NO</t>
        </is>
      </c>
      <c r="M18" s="26" t="inlineStr">
        <is>
          <t>LC1D80F7</t>
        </is>
      </c>
      <c r="N18" s="26">
        <f>LEN(M18)</f>
        <v/>
      </c>
      <c r="O18" s="26" t="inlineStr">
        <is>
          <t>SCHNEIDER ELECTRIC</t>
        </is>
      </c>
      <c r="P18" s="26">
        <f>LEN(O18)</f>
        <v/>
      </c>
      <c r="S18" s="26" t="inlineStr">
        <is>
          <t>NO</t>
        </is>
      </c>
      <c r="T18" s="26" t="n">
        <v>40001</v>
      </c>
      <c r="U18" s="26" t="n">
        <v>4</v>
      </c>
      <c r="V18" s="26" t="inlineStr">
        <is>
          <t>0120</t>
        </is>
      </c>
      <c r="W18" s="26" t="inlineStr">
        <is>
          <t>VEN-4391-M3TY-2-43-0003</t>
        </is>
      </c>
      <c r="X18" s="26" t="n">
        <v>20</v>
      </c>
      <c r="Y18" s="26" t="inlineStr">
        <is>
          <t>QA</t>
        </is>
      </c>
      <c r="AB18" s="26" t="n">
        <v>947.6</v>
      </c>
      <c r="AE18" s="26" t="n">
        <v>2</v>
      </c>
      <c r="AH18" s="26" t="inlineStr">
        <is>
          <t>QATAR</t>
        </is>
      </c>
      <c r="AI18" s="26" t="inlineStr">
        <is>
          <t>QAR</t>
        </is>
      </c>
    </row>
    <row r="19">
      <c r="A19" s="26" t="n">
        <v>14</v>
      </c>
      <c r="B19" s="26" t="n">
        <v>10319067</v>
      </c>
      <c r="C19" s="26" t="n">
        <v>500013</v>
      </c>
      <c r="D19" s="26" t="inlineStr">
        <is>
          <t>L</t>
        </is>
      </c>
      <c r="G19" s="26" t="inlineStr">
        <is>
          <t>4391-2430003-01L13</t>
        </is>
      </c>
      <c r="H19" s="26">
        <f>LEN(G19)</f>
        <v/>
      </c>
      <c r="I19" s="26" t="inlineStr">
        <is>
          <t>AUXILIARY CONTACT BLOCK TESYS - 2 NO + 2 NC,SCREW-CLAMPS TERMINALS,LADN22,SCHNEIDER ELECTRIC</t>
        </is>
      </c>
      <c r="J19" s="26">
        <f>LEN(I19)</f>
        <v/>
      </c>
      <c r="K19" s="26" t="inlineStr">
        <is>
          <t>2300</t>
        </is>
      </c>
      <c r="L19" s="26" t="inlineStr">
        <is>
          <t>NO</t>
        </is>
      </c>
      <c r="M19" s="26" t="inlineStr">
        <is>
          <t>LADN22</t>
        </is>
      </c>
      <c r="N19" s="26">
        <f>LEN(M19)</f>
        <v/>
      </c>
      <c r="O19" s="26" t="inlineStr">
        <is>
          <t>SCHNEIDER ELECTRIC</t>
        </is>
      </c>
      <c r="P19" s="26">
        <f>LEN(O19)</f>
        <v/>
      </c>
      <c r="S19" s="26" t="inlineStr">
        <is>
          <t>NO</t>
        </is>
      </c>
      <c r="T19" s="26" t="n">
        <v>40001</v>
      </c>
      <c r="U19" s="26" t="n">
        <v>4</v>
      </c>
      <c r="V19" s="26" t="inlineStr">
        <is>
          <t>0130</t>
        </is>
      </c>
      <c r="W19" s="26" t="inlineStr">
        <is>
          <t>VEN-4391-M3TY-2-43-0003</t>
        </is>
      </c>
      <c r="X19" s="26" t="n">
        <v>20</v>
      </c>
      <c r="Y19" s="26" t="inlineStr">
        <is>
          <t>QA</t>
        </is>
      </c>
      <c r="AB19" s="26" t="n">
        <v>96.59999999999999</v>
      </c>
      <c r="AE19" s="26" t="n">
        <v>1</v>
      </c>
      <c r="AH19" s="26" t="inlineStr">
        <is>
          <t>QATAR</t>
        </is>
      </c>
      <c r="AI19" s="26" t="inlineStr">
        <is>
          <t>QAR</t>
        </is>
      </c>
    </row>
    <row r="20">
      <c r="A20" s="26" t="n">
        <v>15</v>
      </c>
      <c r="B20" s="26" t="n">
        <v>10209885</v>
      </c>
      <c r="C20" s="26" t="n">
        <v>500014</v>
      </c>
      <c r="D20" s="26" t="inlineStr">
        <is>
          <t>L</t>
        </is>
      </c>
      <c r="G20" s="26" t="inlineStr">
        <is>
          <t>4391-2430003-01L14</t>
        </is>
      </c>
      <c r="H20" s="26">
        <f>LEN(G20)</f>
        <v/>
      </c>
      <c r="I20" s="26" t="inlineStr">
        <is>
          <t>AUXILIARY CONTACT BLOCK TESYS - 1 NO + 1 NC,SCREW-CLAMPS TERMINALS,LAD8N11,SCHNEIDER ELECTRIC</t>
        </is>
      </c>
      <c r="J20" s="26">
        <f>LEN(I20)</f>
        <v/>
      </c>
      <c r="K20" s="26" t="inlineStr">
        <is>
          <t>2300</t>
        </is>
      </c>
      <c r="L20" s="26" t="inlineStr">
        <is>
          <t>NO</t>
        </is>
      </c>
      <c r="M20" s="26" t="inlineStr">
        <is>
          <t>LAD8N11</t>
        </is>
      </c>
      <c r="N20" s="26">
        <f>LEN(M20)</f>
        <v/>
      </c>
      <c r="O20" s="26" t="inlineStr">
        <is>
          <t>SCHNEIDER ELECTRIC</t>
        </is>
      </c>
      <c r="P20" s="26">
        <f>LEN(O20)</f>
        <v/>
      </c>
      <c r="S20" s="26" t="inlineStr">
        <is>
          <t>NO</t>
        </is>
      </c>
      <c r="T20" s="26" t="n">
        <v>40001</v>
      </c>
      <c r="U20" s="26" t="n">
        <v>4</v>
      </c>
      <c r="V20" s="26" t="inlineStr">
        <is>
          <t>0140</t>
        </is>
      </c>
      <c r="W20" s="26" t="inlineStr">
        <is>
          <t>VEN-4391-M3TY-2-43-0003</t>
        </is>
      </c>
      <c r="X20" s="26" t="n">
        <v>20</v>
      </c>
      <c r="Y20" s="26" t="inlineStr">
        <is>
          <t>QA</t>
        </is>
      </c>
      <c r="AB20" s="26" t="n">
        <v>73.84999999999999</v>
      </c>
      <c r="AE20" s="26" t="n">
        <v>1</v>
      </c>
      <c r="AH20" s="26" t="inlineStr">
        <is>
          <t>QATAR</t>
        </is>
      </c>
      <c r="AI20" s="26" t="inlineStr">
        <is>
          <t>QAR</t>
        </is>
      </c>
    </row>
    <row r="21">
      <c r="A21" s="26" t="n">
        <v>16</v>
      </c>
      <c r="C21" s="26" t="n">
        <v>40002</v>
      </c>
      <c r="D21" s="26" t="inlineStr">
        <is>
          <t>B</t>
        </is>
      </c>
      <c r="H21" s="26">
        <f>LEN(G21)</f>
        <v/>
      </c>
      <c r="I21" s="26" t="inlineStr">
        <is>
          <t>LV SWITCHGEAR</t>
        </is>
      </c>
      <c r="J21" s="26">
        <f>LEN(I21)</f>
        <v/>
      </c>
      <c r="K21" s="26" t="inlineStr">
        <is>
          <t>2300</t>
        </is>
      </c>
      <c r="N21" s="26">
        <f>LEN(M21)</f>
        <v/>
      </c>
      <c r="O21" s="26" t="inlineStr">
        <is>
          <t>SCHNEIDER ELECTRIC</t>
        </is>
      </c>
      <c r="P21" s="26">
        <f>LEN(O21)</f>
        <v/>
      </c>
      <c r="S21" s="26" t="inlineStr">
        <is>
          <t>YES</t>
        </is>
      </c>
      <c r="T21" s="26" t="n">
        <v>40002</v>
      </c>
      <c r="U21" s="26" t="n">
        <v>1</v>
      </c>
      <c r="V21" s="26" t="inlineStr">
        <is>
          <t>0010</t>
        </is>
      </c>
      <c r="W21" s="26" t="inlineStr">
        <is>
          <t>VEN-4391-M3TY-2-43-0003</t>
        </is>
      </c>
      <c r="Y21" s="26" t="inlineStr">
        <is>
          <t>QA</t>
        </is>
      </c>
      <c r="AH21" s="26" t="inlineStr">
        <is>
          <t>QATAR</t>
        </is>
      </c>
    </row>
    <row r="22">
      <c r="A22" s="26" t="n">
        <v>17</v>
      </c>
      <c r="B22" s="26" t="n">
        <v>10305370</v>
      </c>
      <c r="C22" s="26" t="n">
        <v>500006</v>
      </c>
      <c r="D22" s="26" t="inlineStr">
        <is>
          <t>L</t>
        </is>
      </c>
      <c r="G22" s="26" t="inlineStr">
        <is>
          <t>4391-2430003-01L06</t>
        </is>
      </c>
      <c r="H22" s="26">
        <f>LEN(G22)</f>
        <v/>
      </c>
      <c r="I22" s="26" t="inlineStr">
        <is>
          <t>ZELIO SOCKET RXZ - MIXED CONTACT, 10A - &lt; 250V - CONNECTOR - FOR RELAY RXM2.., RXM4..,RXZE2M114M,SCHNEIDER ELECTRIC</t>
        </is>
      </c>
      <c r="J22" s="26">
        <f>LEN(I22)</f>
        <v/>
      </c>
      <c r="K22" s="26" t="inlineStr">
        <is>
          <t>2300</t>
        </is>
      </c>
      <c r="L22" s="26" t="inlineStr">
        <is>
          <t>NO</t>
        </is>
      </c>
      <c r="M22" s="26" t="inlineStr">
        <is>
          <t>RXZE2M114M</t>
        </is>
      </c>
      <c r="N22" s="26">
        <f>LEN(M22)</f>
        <v/>
      </c>
      <c r="O22" s="26" t="inlineStr">
        <is>
          <t>SCHNEIDER ELECTRIC</t>
        </is>
      </c>
      <c r="P22" s="26">
        <f>LEN(O22)</f>
        <v/>
      </c>
      <c r="S22" s="26" t="inlineStr">
        <is>
          <t>NO</t>
        </is>
      </c>
      <c r="T22" s="26" t="n">
        <v>40002</v>
      </c>
      <c r="U22" s="26" t="n">
        <v>4</v>
      </c>
      <c r="V22" s="26" t="inlineStr">
        <is>
          <t>0010</t>
        </is>
      </c>
      <c r="W22" s="26" t="inlineStr">
        <is>
          <t>VEN-4391-M3TY-2-43-0003</t>
        </is>
      </c>
      <c r="X22" s="26" t="n">
        <v>20</v>
      </c>
      <c r="Y22" s="26" t="inlineStr">
        <is>
          <t>QA</t>
        </is>
      </c>
      <c r="AB22" s="26" t="n">
        <v>18.42</v>
      </c>
      <c r="AE22" s="26" t="n">
        <v>3</v>
      </c>
      <c r="AH22" s="26" t="inlineStr">
        <is>
          <t>QATAR</t>
        </is>
      </c>
      <c r="AI22" s="26" t="inlineStr">
        <is>
          <t>QAR</t>
        </is>
      </c>
    </row>
    <row r="23">
      <c r="A23" s="26" t="n">
        <v>18</v>
      </c>
      <c r="B23" s="26" t="n">
        <v>10319067</v>
      </c>
      <c r="C23" s="26" t="n">
        <v>500013</v>
      </c>
      <c r="D23" s="26" t="inlineStr">
        <is>
          <t>L</t>
        </is>
      </c>
      <c r="G23" s="26" t="inlineStr">
        <is>
          <t>4391-2430003-01L13</t>
        </is>
      </c>
      <c r="H23" s="26">
        <f>LEN(G23)</f>
        <v/>
      </c>
      <c r="I23" s="26" t="inlineStr">
        <is>
          <t>AUXILIARY CONTACT BLOCK TESYS - 2 NO + 2 NC,SCREW-CLAMPS TERMINALS,LADN22,SCHNEIDER ELECTRIC</t>
        </is>
      </c>
      <c r="J23" s="26">
        <f>LEN(I23)</f>
        <v/>
      </c>
      <c r="K23" s="26" t="inlineStr">
        <is>
          <t>2300</t>
        </is>
      </c>
      <c r="L23" s="26" t="inlineStr">
        <is>
          <t>NO</t>
        </is>
      </c>
      <c r="M23" s="26" t="inlineStr">
        <is>
          <t>LADN22</t>
        </is>
      </c>
      <c r="N23" s="26">
        <f>LEN(M23)</f>
        <v/>
      </c>
      <c r="O23" s="26" t="inlineStr">
        <is>
          <t>SCHNEIDER ELECTRIC</t>
        </is>
      </c>
      <c r="P23" s="26">
        <f>LEN(O23)</f>
        <v/>
      </c>
      <c r="S23" s="26" t="inlineStr">
        <is>
          <t>NO</t>
        </is>
      </c>
      <c r="T23" s="26" t="n">
        <v>40002</v>
      </c>
      <c r="U23" s="26" t="n">
        <v>2</v>
      </c>
      <c r="V23" s="26" t="inlineStr">
        <is>
          <t>0020</t>
        </is>
      </c>
      <c r="W23" s="26" t="inlineStr">
        <is>
          <t>VEN-4391-M3TY-2-43-0003</t>
        </is>
      </c>
      <c r="X23" s="26" t="n">
        <v>20</v>
      </c>
      <c r="Y23" s="26" t="inlineStr">
        <is>
          <t>QA</t>
        </is>
      </c>
      <c r="AB23" s="26" t="n">
        <v>96.59999999999999</v>
      </c>
      <c r="AE23" s="26" t="n">
        <v>1</v>
      </c>
      <c r="AH23" s="26" t="inlineStr">
        <is>
          <t>QATAR</t>
        </is>
      </c>
      <c r="AI23" s="26" t="inlineStr">
        <is>
          <t>QAR</t>
        </is>
      </c>
    </row>
    <row r="24">
      <c r="A24" s="26" t="n">
        <v>19</v>
      </c>
      <c r="B24" s="26" t="n">
        <v>10209885</v>
      </c>
      <c r="C24" s="26" t="n">
        <v>500014</v>
      </c>
      <c r="D24" s="26" t="inlineStr">
        <is>
          <t>L</t>
        </is>
      </c>
      <c r="G24" s="26" t="inlineStr">
        <is>
          <t>4391-2430003-01L14</t>
        </is>
      </c>
      <c r="H24" s="26">
        <f>LEN(G24)</f>
        <v/>
      </c>
      <c r="I24" s="26" t="inlineStr">
        <is>
          <t>AUXILIARY CONTACT BLOCK TESYS - 1 NO + 1 NC,SCREW-CLAMPS TERMINALS,LAD8N11,SCHNEIDER ELECTRIC</t>
        </is>
      </c>
      <c r="J24" s="26">
        <f>LEN(I24)</f>
        <v/>
      </c>
      <c r="K24" s="26" t="inlineStr">
        <is>
          <t>2300</t>
        </is>
      </c>
      <c r="L24" s="26" t="inlineStr">
        <is>
          <t>NO</t>
        </is>
      </c>
      <c r="M24" s="26" t="inlineStr">
        <is>
          <t>LAD8N11</t>
        </is>
      </c>
      <c r="N24" s="26">
        <f>LEN(M24)</f>
        <v/>
      </c>
      <c r="O24" s="26" t="inlineStr">
        <is>
          <t>SCHNEIDER ELECTRIC</t>
        </is>
      </c>
      <c r="P24" s="26">
        <f>LEN(O24)</f>
        <v/>
      </c>
      <c r="S24" s="26" t="inlineStr">
        <is>
          <t>NO</t>
        </is>
      </c>
      <c r="T24" s="26" t="n">
        <v>40002</v>
      </c>
      <c r="U24" s="26" t="n">
        <v>2</v>
      </c>
      <c r="V24" s="26" t="inlineStr">
        <is>
          <t>0030</t>
        </is>
      </c>
      <c r="W24" s="26" t="inlineStr">
        <is>
          <t>VEN-4391-M3TY-2-43-0003</t>
        </is>
      </c>
      <c r="X24" s="26" t="n">
        <v>20</v>
      </c>
      <c r="Y24" s="26" t="inlineStr">
        <is>
          <t>QA</t>
        </is>
      </c>
      <c r="AB24" s="26" t="n">
        <v>73.84999999999999</v>
      </c>
      <c r="AE24" s="26" t="n">
        <v>1</v>
      </c>
      <c r="AH24" s="26" t="inlineStr">
        <is>
          <t>QATAR</t>
        </is>
      </c>
      <c r="AI24" s="26" t="inlineStr">
        <is>
          <t>QAR</t>
        </is>
      </c>
    </row>
    <row r="25">
      <c r="A25" s="26" t="n">
        <v>20</v>
      </c>
      <c r="B25" s="26" t="n">
        <v>10228702</v>
      </c>
      <c r="C25" s="26" t="n">
        <v>500015</v>
      </c>
      <c r="D25" s="26" t="inlineStr">
        <is>
          <t>L</t>
        </is>
      </c>
      <c r="G25" s="26" t="inlineStr">
        <is>
          <t>4391-2430003-01L15</t>
        </is>
      </c>
      <c r="H25" s="26">
        <f>LEN(G25)</f>
        <v/>
      </c>
      <c r="I25" s="26" t="inlineStr">
        <is>
          <t>HARMONY XB5 RED FLUSH COMPLETE PUSHBUTTON Ø22 SPRING RETURN 1NO UNMARKED,XB5AA42,SCHNEIDER ELECTRIC</t>
        </is>
      </c>
      <c r="J25" s="26">
        <f>LEN(I25)</f>
        <v/>
      </c>
      <c r="K25" s="26" t="inlineStr">
        <is>
          <t>2300</t>
        </is>
      </c>
      <c r="L25" s="26" t="inlineStr">
        <is>
          <t>NO</t>
        </is>
      </c>
      <c r="M25" s="26" t="inlineStr">
        <is>
          <t>XB5AA42</t>
        </is>
      </c>
      <c r="N25" s="26">
        <f>LEN(M25)</f>
        <v/>
      </c>
      <c r="O25" s="26" t="inlineStr">
        <is>
          <t>SCHNEIDER ELECTRIC</t>
        </is>
      </c>
      <c r="P25" s="26">
        <f>LEN(O25)</f>
        <v/>
      </c>
      <c r="S25" s="26" t="inlineStr">
        <is>
          <t>NO</t>
        </is>
      </c>
      <c r="T25" s="26" t="n">
        <v>40002</v>
      </c>
      <c r="U25" s="26" t="n">
        <v>2</v>
      </c>
      <c r="V25" s="26" t="inlineStr">
        <is>
          <t>0040</t>
        </is>
      </c>
      <c r="W25" s="26" t="inlineStr">
        <is>
          <t>VEN-4391-M3TY-2-43-0003</t>
        </is>
      </c>
      <c r="X25" s="26" t="n">
        <v>20</v>
      </c>
      <c r="Y25" s="26" t="inlineStr">
        <is>
          <t>QA</t>
        </is>
      </c>
      <c r="AB25" s="26" t="n">
        <v>38.9</v>
      </c>
      <c r="AE25" s="26" t="n">
        <v>1</v>
      </c>
      <c r="AH25" s="26" t="inlineStr">
        <is>
          <t>QATAR</t>
        </is>
      </c>
      <c r="AI25" s="26" t="inlineStr">
        <is>
          <t>QAR</t>
        </is>
      </c>
    </row>
    <row r="26">
      <c r="A26" s="26" t="n">
        <v>21</v>
      </c>
      <c r="B26" s="26" t="n">
        <v>10626665</v>
      </c>
      <c r="C26" s="26" t="n">
        <v>500016</v>
      </c>
      <c r="D26" s="26" t="inlineStr">
        <is>
          <t>L</t>
        </is>
      </c>
      <c r="G26" s="26" t="inlineStr">
        <is>
          <t>4391-2430003-01L16</t>
        </is>
      </c>
      <c r="H26" s="26">
        <f>LEN(G26)</f>
        <v/>
      </c>
      <c r="I26" s="26" t="inlineStr">
        <is>
          <t>AUXILLIARY CONTACT -IOF,A9A26904,SCHNEIDER ELECTRIC</t>
        </is>
      </c>
      <c r="J26" s="26">
        <f>LEN(I26)</f>
        <v/>
      </c>
      <c r="K26" s="26" t="inlineStr">
        <is>
          <t>2300</t>
        </is>
      </c>
      <c r="L26" s="26" t="inlineStr">
        <is>
          <t>NO</t>
        </is>
      </c>
      <c r="M26" s="26" t="inlineStr">
        <is>
          <t>A9A26904</t>
        </is>
      </c>
      <c r="N26" s="26">
        <f>LEN(M26)</f>
        <v/>
      </c>
      <c r="O26" s="26" t="inlineStr">
        <is>
          <t>SCHNEIDER ELECTRIC</t>
        </is>
      </c>
      <c r="P26" s="26">
        <f>LEN(O26)</f>
        <v/>
      </c>
      <c r="S26" s="26" t="inlineStr">
        <is>
          <t>NO</t>
        </is>
      </c>
      <c r="T26" s="26" t="n">
        <v>40002</v>
      </c>
      <c r="U26" s="26" t="n">
        <v>2</v>
      </c>
      <c r="V26" s="26" t="inlineStr">
        <is>
          <t>0050</t>
        </is>
      </c>
      <c r="W26" s="26" t="inlineStr">
        <is>
          <t>VEN-4391-M3TY-2-43-0003</t>
        </is>
      </c>
      <c r="X26" s="26" t="n">
        <v>20</v>
      </c>
      <c r="Y26" s="26" t="inlineStr">
        <is>
          <t>QA</t>
        </is>
      </c>
      <c r="AB26" s="26" t="n">
        <v>17.35</v>
      </c>
      <c r="AE26" s="26" t="n">
        <v>1</v>
      </c>
      <c r="AH26" s="26" t="inlineStr">
        <is>
          <t>QATAR</t>
        </is>
      </c>
      <c r="AI26" s="26" t="inlineStr">
        <is>
          <t>QAR</t>
        </is>
      </c>
    </row>
    <row r="27">
      <c r="A27" s="26" t="n">
        <v>22</v>
      </c>
      <c r="B27" s="26" t="n">
        <v>10082296</v>
      </c>
      <c r="C27" s="26" t="n">
        <v>500017</v>
      </c>
      <c r="D27" s="26" t="inlineStr">
        <is>
          <t>L</t>
        </is>
      </c>
      <c r="G27" s="26" t="inlineStr">
        <is>
          <t>4391-2430003-01L17</t>
        </is>
      </c>
      <c r="H27" s="26">
        <f>LEN(G27)</f>
        <v/>
      </c>
      <c r="I27" s="26" t="inlineStr">
        <is>
          <t>FUSE 10.3 X 38 GG 2A,DF2CN02,SCHNEIDER ELECTRIC</t>
        </is>
      </c>
      <c r="J27" s="26">
        <f>LEN(I27)</f>
        <v/>
      </c>
      <c r="K27" s="26" t="inlineStr">
        <is>
          <t>2300</t>
        </is>
      </c>
      <c r="L27" s="26" t="inlineStr">
        <is>
          <t>NO</t>
        </is>
      </c>
      <c r="M27" s="26" t="inlineStr">
        <is>
          <t>DF2CN02</t>
        </is>
      </c>
      <c r="N27" s="26">
        <f>LEN(M27)</f>
        <v/>
      </c>
      <c r="O27" s="26" t="inlineStr">
        <is>
          <t>SCHNEIDER ELECTRIC</t>
        </is>
      </c>
      <c r="P27" s="26">
        <f>LEN(O27)</f>
        <v/>
      </c>
      <c r="S27" s="26" t="inlineStr">
        <is>
          <t>NO</t>
        </is>
      </c>
      <c r="T27" s="26" t="n">
        <v>40002</v>
      </c>
      <c r="U27" s="26" t="n">
        <v>2</v>
      </c>
      <c r="V27" s="26" t="inlineStr">
        <is>
          <t>0060</t>
        </is>
      </c>
      <c r="W27" s="26" t="inlineStr">
        <is>
          <t>VEN-4391-M3TY-2-43-0003</t>
        </is>
      </c>
      <c r="X27" s="26" t="n">
        <v>20</v>
      </c>
      <c r="Y27" s="26" t="inlineStr">
        <is>
          <t>QA</t>
        </is>
      </c>
      <c r="AB27" s="26" t="n">
        <v>7.5</v>
      </c>
      <c r="AE27" s="26" t="n">
        <v>1</v>
      </c>
      <c r="AH27" s="26" t="inlineStr">
        <is>
          <t>QATAR</t>
        </is>
      </c>
      <c r="AI27" s="26" t="inlineStr">
        <is>
          <t>QAR</t>
        </is>
      </c>
    </row>
    <row r="28">
      <c r="A28" s="26" t="n">
        <v>23</v>
      </c>
      <c r="B28" s="26" t="n">
        <v>10367428</v>
      </c>
      <c r="C28" s="26" t="n">
        <v>500018</v>
      </c>
      <c r="D28" s="26" t="inlineStr">
        <is>
          <t>L</t>
        </is>
      </c>
      <c r="G28" s="26" t="inlineStr">
        <is>
          <t>4391-2430003-01L18</t>
        </is>
      </c>
      <c r="H28" s="26">
        <f>LEN(G28)</f>
        <v/>
      </c>
      <c r="I28" s="26" t="inlineStr">
        <is>
          <t>MINIATURE CIRCUIT BREAKER-IC60N, 2P 2A C CURVE,A9F74202,SCHNEIDER ELECTRIC</t>
        </is>
      </c>
      <c r="J28" s="26">
        <f>LEN(I28)</f>
        <v/>
      </c>
      <c r="K28" s="26" t="inlineStr">
        <is>
          <t>2300</t>
        </is>
      </c>
      <c r="L28" s="26" t="inlineStr">
        <is>
          <t>NO</t>
        </is>
      </c>
      <c r="M28" s="26" t="inlineStr">
        <is>
          <t>A9F74202</t>
        </is>
      </c>
      <c r="N28" s="26">
        <f>LEN(M28)</f>
        <v/>
      </c>
      <c r="O28" s="26" t="inlineStr">
        <is>
          <t>SCHNEIDER ELECTRIC</t>
        </is>
      </c>
      <c r="P28" s="26">
        <f>LEN(O28)</f>
        <v/>
      </c>
      <c r="S28" s="26" t="inlineStr">
        <is>
          <t>NO</t>
        </is>
      </c>
      <c r="T28" s="26" t="n">
        <v>40002</v>
      </c>
      <c r="U28" s="26" t="n">
        <v>2</v>
      </c>
      <c r="V28" s="26" t="inlineStr">
        <is>
          <t>0070</t>
        </is>
      </c>
      <c r="W28" s="26" t="inlineStr">
        <is>
          <t>VEN-4391-M3TY-2-43-0003</t>
        </is>
      </c>
      <c r="X28" s="26" t="n">
        <v>20</v>
      </c>
      <c r="Y28" s="26" t="inlineStr">
        <is>
          <t>QA</t>
        </is>
      </c>
      <c r="AB28" s="26" t="n">
        <v>75.75</v>
      </c>
      <c r="AE28" s="26" t="n">
        <v>1</v>
      </c>
      <c r="AH28" s="26" t="inlineStr">
        <is>
          <t>QATAR</t>
        </is>
      </c>
      <c r="AI28" s="26" t="inlineStr">
        <is>
          <t>QAR</t>
        </is>
      </c>
    </row>
    <row r="29">
      <c r="A29" s="26" t="n">
        <v>24</v>
      </c>
      <c r="B29" s="26" t="n">
        <v>10318990</v>
      </c>
      <c r="C29" s="26" t="n">
        <v>500019</v>
      </c>
      <c r="D29" s="26" t="inlineStr">
        <is>
          <t>L</t>
        </is>
      </c>
      <c r="G29" s="26" t="inlineStr">
        <is>
          <t>4391-2430003-01L19</t>
        </is>
      </c>
      <c r="H29" s="26">
        <f>LEN(G29)</f>
        <v/>
      </c>
      <c r="I29" s="26" t="inlineStr">
        <is>
          <t>COMPLETE BODY LIGHT BLOCK ASSEMBLY, HARMONY XB5, 24...120V AC DC,ZB5AVBG1,SCHNEIDER ELECTRIC</t>
        </is>
      </c>
      <c r="J29" s="26">
        <f>LEN(I29)</f>
        <v/>
      </c>
      <c r="K29" s="26" t="inlineStr">
        <is>
          <t>2300</t>
        </is>
      </c>
      <c r="L29" s="26" t="inlineStr">
        <is>
          <t>NO</t>
        </is>
      </c>
      <c r="M29" s="26" t="inlineStr">
        <is>
          <t>ZB5AVBG1</t>
        </is>
      </c>
      <c r="N29" s="26">
        <f>LEN(M29)</f>
        <v/>
      </c>
      <c r="O29" s="26" t="inlineStr">
        <is>
          <t>SCHNEIDER ELECTRIC</t>
        </is>
      </c>
      <c r="P29" s="26">
        <f>LEN(O29)</f>
        <v/>
      </c>
      <c r="S29" s="26" t="inlineStr">
        <is>
          <t>NO</t>
        </is>
      </c>
      <c r="T29" s="26" t="n">
        <v>40002</v>
      </c>
      <c r="U29" s="26" t="n">
        <v>6</v>
      </c>
      <c r="V29" s="26" t="inlineStr">
        <is>
          <t>0080</t>
        </is>
      </c>
      <c r="W29" s="26" t="inlineStr">
        <is>
          <t>VEN-4391-M3TY-2-43-0003</t>
        </is>
      </c>
      <c r="X29" s="26" t="n">
        <v>20</v>
      </c>
      <c r="Y29" s="26" t="inlineStr">
        <is>
          <t>QA</t>
        </is>
      </c>
      <c r="AB29" s="26" t="n">
        <v>85.09999999999999</v>
      </c>
      <c r="AE29" s="26" t="n">
        <v>1</v>
      </c>
      <c r="AH29" s="26" t="inlineStr">
        <is>
          <t>QATAR</t>
        </is>
      </c>
      <c r="AI29" s="26" t="inlineStr">
        <is>
          <t>QAR</t>
        </is>
      </c>
    </row>
    <row r="30">
      <c r="A30" s="26" t="n">
        <v>25</v>
      </c>
      <c r="B30" s="26" t="n">
        <v>10231210</v>
      </c>
      <c r="C30" s="26" t="n">
        <v>500020</v>
      </c>
      <c r="D30" s="26" t="inlineStr">
        <is>
          <t>L</t>
        </is>
      </c>
      <c r="G30" s="26" t="inlineStr">
        <is>
          <t>4391-2430003-01L20</t>
        </is>
      </c>
      <c r="H30" s="26">
        <f>LEN(G30)</f>
        <v/>
      </c>
      <c r="I30" s="26" t="inlineStr">
        <is>
          <t>HEAD PILOT LAMP RED,ZB5AV043,SCHNEIDER ELECTRIC</t>
        </is>
      </c>
      <c r="J30" s="26">
        <f>LEN(I30)</f>
        <v/>
      </c>
      <c r="K30" s="26" t="inlineStr">
        <is>
          <t>2300</t>
        </is>
      </c>
      <c r="L30" s="26" t="inlineStr">
        <is>
          <t>NO</t>
        </is>
      </c>
      <c r="M30" s="26" t="inlineStr">
        <is>
          <t>ZB5AV043</t>
        </is>
      </c>
      <c r="N30" s="26">
        <f>LEN(M30)</f>
        <v/>
      </c>
      <c r="O30" s="26" t="inlineStr">
        <is>
          <t>SCHNEIDER ELECTRIC</t>
        </is>
      </c>
      <c r="P30" s="26">
        <f>LEN(O30)</f>
        <v/>
      </c>
      <c r="S30" s="26" t="inlineStr">
        <is>
          <t>NO</t>
        </is>
      </c>
      <c r="T30" s="26" t="n">
        <v>40002</v>
      </c>
      <c r="U30" s="26" t="n">
        <v>2</v>
      </c>
      <c r="V30" s="26" t="inlineStr">
        <is>
          <t>0090</t>
        </is>
      </c>
      <c r="W30" s="26" t="inlineStr">
        <is>
          <t>VEN-4391-M3TY-2-43-0003</t>
        </is>
      </c>
      <c r="X30" s="26" t="n">
        <v>20</v>
      </c>
      <c r="Y30" s="26" t="inlineStr">
        <is>
          <t>QA</t>
        </is>
      </c>
      <c r="AB30" s="26" t="n">
        <v>24.12</v>
      </c>
      <c r="AE30" s="26" t="n">
        <v>1</v>
      </c>
      <c r="AH30" s="26" t="inlineStr">
        <is>
          <t>QATAR</t>
        </is>
      </c>
      <c r="AI30" s="26" t="inlineStr">
        <is>
          <t>QAR</t>
        </is>
      </c>
    </row>
    <row r="31">
      <c r="A31" s="26" t="n">
        <v>26</v>
      </c>
      <c r="B31" s="26" t="n">
        <v>10231189</v>
      </c>
      <c r="C31" s="26" t="n">
        <v>500021</v>
      </c>
      <c r="D31" s="26" t="inlineStr">
        <is>
          <t>L</t>
        </is>
      </c>
      <c r="G31" s="26" t="inlineStr">
        <is>
          <t>4391-2430003-01L21</t>
        </is>
      </c>
      <c r="H31" s="26">
        <f>LEN(G31)</f>
        <v/>
      </c>
      <c r="I31" s="26" t="inlineStr">
        <is>
          <t>HEAD PILOT LAMP GREEN,ZB5AV033,SCHNEIDER ELECTRIC</t>
        </is>
      </c>
      <c r="J31" s="26">
        <f>LEN(I31)</f>
        <v/>
      </c>
      <c r="K31" s="26" t="inlineStr">
        <is>
          <t>2300</t>
        </is>
      </c>
      <c r="L31" s="26" t="inlineStr">
        <is>
          <t>NO</t>
        </is>
      </c>
      <c r="M31" s="26" t="inlineStr">
        <is>
          <t>ZB5AV033</t>
        </is>
      </c>
      <c r="N31" s="26">
        <f>LEN(M31)</f>
        <v/>
      </c>
      <c r="O31" s="26" t="inlineStr">
        <is>
          <t>SCHNEIDER ELECTRIC</t>
        </is>
      </c>
      <c r="P31" s="26">
        <f>LEN(O31)</f>
        <v/>
      </c>
      <c r="S31" s="26" t="inlineStr">
        <is>
          <t>NO</t>
        </is>
      </c>
      <c r="T31" s="26" t="n">
        <v>40002</v>
      </c>
      <c r="U31" s="26" t="n">
        <v>2</v>
      </c>
      <c r="V31" s="26" t="inlineStr">
        <is>
          <t>0100</t>
        </is>
      </c>
      <c r="W31" s="26" t="inlineStr">
        <is>
          <t>VEN-4391-M3TY-2-43-0003</t>
        </is>
      </c>
      <c r="X31" s="26" t="n">
        <v>20</v>
      </c>
      <c r="Y31" s="26" t="inlineStr">
        <is>
          <t>QA</t>
        </is>
      </c>
      <c r="AB31" s="26" t="n">
        <v>24.78</v>
      </c>
      <c r="AE31" s="26" t="n">
        <v>1</v>
      </c>
      <c r="AH31" s="26" t="inlineStr">
        <is>
          <t>QATAR</t>
        </is>
      </c>
      <c r="AI31" s="26" t="inlineStr">
        <is>
          <t>QAR</t>
        </is>
      </c>
    </row>
    <row r="32">
      <c r="A32" s="26" t="n">
        <v>27</v>
      </c>
      <c r="B32" s="26" t="n">
        <v>10626660</v>
      </c>
      <c r="C32" s="26" t="n">
        <v>500022</v>
      </c>
      <c r="D32" s="26" t="inlineStr">
        <is>
          <t>L</t>
        </is>
      </c>
      <c r="G32" s="26" t="inlineStr">
        <is>
          <t>4391-2430003-01L22</t>
        </is>
      </c>
      <c r="H32" s="26">
        <f>LEN(G32)</f>
        <v/>
      </c>
      <c r="I32" s="26" t="inlineStr">
        <is>
          <t>HEAD PILOT LAMP YELLOW,ZB5AV083,SCHNEIDER ELECTRIC</t>
        </is>
      </c>
      <c r="J32" s="26">
        <f>LEN(I32)</f>
        <v/>
      </c>
      <c r="K32" s="26" t="inlineStr">
        <is>
          <t>2300</t>
        </is>
      </c>
      <c r="L32" s="26" t="inlineStr">
        <is>
          <t>NO</t>
        </is>
      </c>
      <c r="M32" s="26" t="inlineStr">
        <is>
          <t>ZB5AV083</t>
        </is>
      </c>
      <c r="N32" s="26">
        <f>LEN(M32)</f>
        <v/>
      </c>
      <c r="O32" s="26" t="inlineStr">
        <is>
          <t>SCHNEIDER ELECTRIC</t>
        </is>
      </c>
      <c r="P32" s="26">
        <f>LEN(O32)</f>
        <v/>
      </c>
      <c r="S32" s="26" t="inlineStr">
        <is>
          <t>NO</t>
        </is>
      </c>
      <c r="T32" s="26" t="n">
        <v>40002</v>
      </c>
      <c r="U32" s="26" t="n">
        <v>2</v>
      </c>
      <c r="V32" s="26" t="inlineStr">
        <is>
          <t>0110</t>
        </is>
      </c>
      <c r="W32" s="26" t="inlineStr">
        <is>
          <t>VEN-4391-M3TY-2-43-0003</t>
        </is>
      </c>
      <c r="X32" s="26" t="n">
        <v>20</v>
      </c>
      <c r="Y32" s="26" t="inlineStr">
        <is>
          <t>QA</t>
        </is>
      </c>
      <c r="AB32" s="26" t="n">
        <v>18.05</v>
      </c>
      <c r="AE32" s="26" t="n">
        <v>1</v>
      </c>
      <c r="AH32" s="26" t="inlineStr">
        <is>
          <t>QATAR</t>
        </is>
      </c>
      <c r="AI32" s="26" t="inlineStr">
        <is>
          <t>QAR</t>
        </is>
      </c>
    </row>
    <row r="33">
      <c r="A33" s="26" t="n">
        <v>28</v>
      </c>
      <c r="B33" s="26" t="n">
        <v>10092099</v>
      </c>
      <c r="C33" s="26" t="n">
        <v>500023</v>
      </c>
      <c r="D33" s="26" t="inlineStr">
        <is>
          <t>L</t>
        </is>
      </c>
      <c r="G33" s="26" t="inlineStr">
        <is>
          <t>4391-2430003-01L23</t>
        </is>
      </c>
      <c r="H33" s="26">
        <f>LEN(G33)</f>
        <v/>
      </c>
      <c r="I33" s="26" t="inlineStr">
        <is>
          <t>BLOCK OF CONTACT 1NO,ZBE101,SCHNEIDER ELECTRIC</t>
        </is>
      </c>
      <c r="J33" s="26">
        <f>LEN(I33)</f>
        <v/>
      </c>
      <c r="K33" s="26" t="inlineStr">
        <is>
          <t>2300</t>
        </is>
      </c>
      <c r="L33" s="26" t="inlineStr">
        <is>
          <t>NO</t>
        </is>
      </c>
      <c r="M33" s="26" t="inlineStr">
        <is>
          <t>ZBE101</t>
        </is>
      </c>
      <c r="N33" s="26">
        <f>LEN(M33)</f>
        <v/>
      </c>
      <c r="O33" s="26" t="inlineStr">
        <is>
          <t>SCHNEIDER ELECTRIC</t>
        </is>
      </c>
      <c r="P33" s="26">
        <f>LEN(O33)</f>
        <v/>
      </c>
      <c r="S33" s="26" t="inlineStr">
        <is>
          <t>NO</t>
        </is>
      </c>
      <c r="T33" s="26" t="n">
        <v>40002</v>
      </c>
      <c r="U33" s="26" t="n">
        <v>4</v>
      </c>
      <c r="V33" s="26" t="inlineStr">
        <is>
          <t>0120</t>
        </is>
      </c>
      <c r="W33" s="26" t="inlineStr">
        <is>
          <t>VEN-4391-M3TY-2-43-0003</t>
        </is>
      </c>
      <c r="X33" s="26" t="n">
        <v>20</v>
      </c>
      <c r="Y33" s="26" t="inlineStr">
        <is>
          <t>QA</t>
        </is>
      </c>
      <c r="AB33" s="26" t="n">
        <v>23.64</v>
      </c>
      <c r="AE33" s="26" t="n">
        <v>1</v>
      </c>
      <c r="AH33" s="26" t="inlineStr">
        <is>
          <t>QATAR</t>
        </is>
      </c>
      <c r="AI33" s="26" t="inlineStr">
        <is>
          <t>QAR</t>
        </is>
      </c>
    </row>
    <row r="34">
      <c r="A34" s="26" t="n">
        <v>29</v>
      </c>
      <c r="B34" s="26" t="n">
        <v>10292912</v>
      </c>
      <c r="C34" s="26" t="n">
        <v>500024</v>
      </c>
      <c r="D34" s="26" t="inlineStr">
        <is>
          <t>L</t>
        </is>
      </c>
      <c r="G34" s="26" t="inlineStr">
        <is>
          <t>4391-2430003-01L24</t>
        </is>
      </c>
      <c r="H34" s="26">
        <f>LEN(G34)</f>
        <v/>
      </c>
      <c r="I34" s="26" t="inlineStr">
        <is>
          <t>INSTANTANEOUS AUX RELAY 110V AC,RXM4AB2F7,SCHNEIDER ELECTRIC</t>
        </is>
      </c>
      <c r="J34" s="26">
        <f>LEN(I34)</f>
        <v/>
      </c>
      <c r="K34" s="26" t="inlineStr">
        <is>
          <t>2300</t>
        </is>
      </c>
      <c r="L34" s="26" t="inlineStr">
        <is>
          <t>NO</t>
        </is>
      </c>
      <c r="M34" s="26" t="inlineStr">
        <is>
          <t>RXM4AB2F7</t>
        </is>
      </c>
      <c r="N34" s="26">
        <f>LEN(M34)</f>
        <v/>
      </c>
      <c r="O34" s="26" t="inlineStr">
        <is>
          <t>SCHNEIDER ELECTRIC</t>
        </is>
      </c>
      <c r="P34" s="26">
        <f>LEN(O34)</f>
        <v/>
      </c>
      <c r="S34" s="26" t="inlineStr">
        <is>
          <t>NO</t>
        </is>
      </c>
      <c r="T34" s="26" t="n">
        <v>40002</v>
      </c>
      <c r="U34" s="26" t="n">
        <v>4</v>
      </c>
      <c r="V34" s="26" t="inlineStr">
        <is>
          <t>0130</t>
        </is>
      </c>
      <c r="W34" s="26" t="inlineStr">
        <is>
          <t>VEN-4391-M3TY-2-43-0003</t>
        </is>
      </c>
      <c r="X34" s="26" t="n">
        <v>20</v>
      </c>
      <c r="Y34" s="26" t="inlineStr">
        <is>
          <t>QA</t>
        </is>
      </c>
      <c r="AB34" s="26" t="n">
        <v>44.64</v>
      </c>
      <c r="AE34" s="26" t="n">
        <v>1</v>
      </c>
      <c r="AH34" s="26" t="inlineStr">
        <is>
          <t>QATAR</t>
        </is>
      </c>
      <c r="AI34" s="26" t="inlineStr">
        <is>
          <t>QAR</t>
        </is>
      </c>
    </row>
    <row r="35">
      <c r="A35" s="26" t="n">
        <v>30</v>
      </c>
      <c r="B35" s="26" t="n">
        <v>10223509</v>
      </c>
      <c r="C35" s="26" t="n">
        <v>500025</v>
      </c>
      <c r="D35" s="26" t="inlineStr">
        <is>
          <t>L</t>
        </is>
      </c>
      <c r="G35" s="26" t="inlineStr">
        <is>
          <t>4391-2430003-02L01</t>
        </is>
      </c>
      <c r="H35" s="26">
        <f>LEN(G35)</f>
        <v/>
      </c>
      <c r="I35" s="26" t="inlineStr">
        <is>
          <t>SELECTOR SWITCH Ø22 3 POSITIONS,XB5AD33,SCHNEIDER ELECTRIC</t>
        </is>
      </c>
      <c r="J35" s="26">
        <f>LEN(I35)</f>
        <v/>
      </c>
      <c r="K35" s="26" t="inlineStr">
        <is>
          <t>2300</t>
        </is>
      </c>
      <c r="L35" s="26" t="inlineStr">
        <is>
          <t>NO</t>
        </is>
      </c>
      <c r="M35" s="26" t="inlineStr">
        <is>
          <t>XB5AD33</t>
        </is>
      </c>
      <c r="N35" s="26">
        <f>LEN(M35)</f>
        <v/>
      </c>
      <c r="O35" s="26" t="inlineStr">
        <is>
          <t>SCHNEIDER ELECTRIC</t>
        </is>
      </c>
      <c r="P35" s="26">
        <f>LEN(O35)</f>
        <v/>
      </c>
      <c r="S35" s="26" t="inlineStr">
        <is>
          <t>NO</t>
        </is>
      </c>
      <c r="T35" s="26" t="n">
        <v>40002</v>
      </c>
      <c r="U35" s="26" t="n">
        <v>2</v>
      </c>
      <c r="V35" s="26" t="inlineStr">
        <is>
          <t>0140</t>
        </is>
      </c>
      <c r="W35" s="26" t="inlineStr">
        <is>
          <t>VEN-4391-M3TY-2-43-0003</t>
        </is>
      </c>
      <c r="X35" s="26" t="n">
        <v>20</v>
      </c>
      <c r="Y35" s="26" t="inlineStr">
        <is>
          <t>QA</t>
        </is>
      </c>
      <c r="AB35" s="26" t="n">
        <v>60</v>
      </c>
      <c r="AE35" s="26" t="n">
        <v>1</v>
      </c>
      <c r="AH35" s="26" t="inlineStr">
        <is>
          <t>QATAR</t>
        </is>
      </c>
      <c r="AI35" s="26" t="inlineStr">
        <is>
          <t>QAR</t>
        </is>
      </c>
    </row>
    <row r="36">
      <c r="A36" s="26" t="n">
        <v>31</v>
      </c>
      <c r="B36" s="26" t="n">
        <v>10366226</v>
      </c>
      <c r="C36" s="26" t="n">
        <v>500026</v>
      </c>
      <c r="D36" s="26" t="inlineStr">
        <is>
          <t>L</t>
        </is>
      </c>
      <c r="G36" s="26" t="inlineStr">
        <is>
          <t>4391-2430003-03L09</t>
        </is>
      </c>
      <c r="H36" s="26">
        <f>LEN(G36)</f>
        <v/>
      </c>
      <c r="I36" s="26" t="inlineStr">
        <is>
          <t>CONT ACTDR-3P- AC-3 440V - 40A - C□IL LLOVAC,LC1D40AF7,SCHNEIDER ELECTRIC</t>
        </is>
      </c>
      <c r="J36" s="26">
        <f>LEN(I36)</f>
        <v/>
      </c>
      <c r="K36" s="26" t="inlineStr">
        <is>
          <t>2300</t>
        </is>
      </c>
      <c r="L36" s="26" t="inlineStr">
        <is>
          <t>NO</t>
        </is>
      </c>
      <c r="M36" s="26" t="inlineStr">
        <is>
          <t>LC1D40AF7</t>
        </is>
      </c>
      <c r="N36" s="26">
        <f>LEN(M36)</f>
        <v/>
      </c>
      <c r="O36" s="26" t="inlineStr">
        <is>
          <t>SCHNEIDER ELECTRIC</t>
        </is>
      </c>
      <c r="P36" s="26">
        <f>LEN(O36)</f>
        <v/>
      </c>
      <c r="S36" s="26" t="inlineStr">
        <is>
          <t>NO</t>
        </is>
      </c>
      <c r="T36" s="26" t="n">
        <v>40002</v>
      </c>
      <c r="U36" s="26" t="n">
        <v>2</v>
      </c>
      <c r="V36" s="26" t="inlineStr">
        <is>
          <t>0150</t>
        </is>
      </c>
      <c r="W36" s="26" t="inlineStr">
        <is>
          <t>VEN-4391-M3TY-2-43-0003</t>
        </is>
      </c>
      <c r="X36" s="26" t="n">
        <v>20</v>
      </c>
      <c r="Y36" s="26" t="inlineStr">
        <is>
          <t>QA</t>
        </is>
      </c>
      <c r="AB36" s="26" t="n">
        <v>587.95</v>
      </c>
      <c r="AE36" s="26" t="n">
        <v>1</v>
      </c>
      <c r="AH36" s="26" t="inlineStr">
        <is>
          <t>QATAR</t>
        </is>
      </c>
      <c r="AI36" s="26" t="inlineStr">
        <is>
          <t>QAR</t>
        </is>
      </c>
    </row>
    <row r="37">
      <c r="A37" s="26" t="n">
        <v>32</v>
      </c>
      <c r="B37" s="26" t="n">
        <v>10387030</v>
      </c>
      <c r="C37" s="26" t="n">
        <v>500027</v>
      </c>
      <c r="D37" s="26" t="inlineStr">
        <is>
          <t>L</t>
        </is>
      </c>
      <c r="G37" s="26" t="inlineStr">
        <is>
          <t>4391-2430003-03L10</t>
        </is>
      </c>
      <c r="H37" s="26">
        <f>LEN(G37)</f>
        <v/>
      </c>
      <c r="I37" s="26" t="inlineStr">
        <is>
          <t>MOTOR CIRCUIT BREAKER, 3P, 24-32 A, MAGNETDTHERMAL,GV2ME32,SCHNEIDER ELECTRIC</t>
        </is>
      </c>
      <c r="J37" s="26">
        <f>LEN(I37)</f>
        <v/>
      </c>
      <c r="K37" s="26" t="inlineStr">
        <is>
          <t>2300</t>
        </is>
      </c>
      <c r="L37" s="26" t="inlineStr">
        <is>
          <t>NO</t>
        </is>
      </c>
      <c r="M37" s="26" t="inlineStr">
        <is>
          <t>GV2ME32</t>
        </is>
      </c>
      <c r="N37" s="26">
        <f>LEN(M37)</f>
        <v/>
      </c>
      <c r="O37" s="26" t="inlineStr">
        <is>
          <t>SCHNEIDER ELECTRIC</t>
        </is>
      </c>
      <c r="P37" s="26">
        <f>LEN(O37)</f>
        <v/>
      </c>
      <c r="S37" s="26" t="inlineStr">
        <is>
          <t>NO</t>
        </is>
      </c>
      <c r="T37" s="26" t="n">
        <v>40002</v>
      </c>
      <c r="U37" s="26" t="n">
        <v>2</v>
      </c>
      <c r="V37" s="26" t="inlineStr">
        <is>
          <t>0160</t>
        </is>
      </c>
      <c r="W37" s="26" t="inlineStr">
        <is>
          <t>VEN-4391-M3TY-2-43-0003</t>
        </is>
      </c>
      <c r="X37" s="26" t="n">
        <v>20</v>
      </c>
      <c r="Y37" s="26" t="inlineStr">
        <is>
          <t>QA</t>
        </is>
      </c>
      <c r="AB37" s="26" t="n">
        <v>406.8</v>
      </c>
      <c r="AE37" s="26" t="n">
        <v>1</v>
      </c>
      <c r="AH37" s="26" t="inlineStr">
        <is>
          <t>QATAR</t>
        </is>
      </c>
      <c r="AI37" s="26" t="inlineStr">
        <is>
          <t>QAR</t>
        </is>
      </c>
    </row>
    <row r="38">
      <c r="A38" s="26" t="n">
        <v>33</v>
      </c>
      <c r="B38" s="26" t="n">
        <v>10624459</v>
      </c>
      <c r="C38" s="26" t="n">
        <v>500028</v>
      </c>
      <c r="D38" s="26" t="inlineStr">
        <is>
          <t>L</t>
        </is>
      </c>
      <c r="G38" s="26" t="inlineStr">
        <is>
          <t>4391-2430003-03L11</t>
        </is>
      </c>
      <c r="H38" s="26">
        <f>LEN(G38)</f>
        <v/>
      </c>
      <c r="I38" s="26" t="inlineStr">
        <is>
          <t>AUXILIARY CONT ACT - !ND+ !NC,GVAN11,SCHNEIDER ELECTRIC</t>
        </is>
      </c>
      <c r="J38" s="26">
        <f>LEN(I38)</f>
        <v/>
      </c>
      <c r="K38" s="26" t="inlineStr">
        <is>
          <t>2300</t>
        </is>
      </c>
      <c r="L38" s="26" t="inlineStr">
        <is>
          <t>NO</t>
        </is>
      </c>
      <c r="M38" s="26" t="inlineStr">
        <is>
          <t>GVAN11</t>
        </is>
      </c>
      <c r="N38" s="26">
        <f>LEN(M38)</f>
        <v/>
      </c>
      <c r="O38" s="26" t="inlineStr">
        <is>
          <t>SCHNEIDER ELECTRIC</t>
        </is>
      </c>
      <c r="P38" s="26">
        <f>LEN(O38)</f>
        <v/>
      </c>
      <c r="S38" s="26" t="inlineStr">
        <is>
          <t>NO</t>
        </is>
      </c>
      <c r="T38" s="26" t="n">
        <v>40002</v>
      </c>
      <c r="U38" s="26" t="n">
        <v>2</v>
      </c>
      <c r="V38" s="26" t="inlineStr">
        <is>
          <t>0170</t>
        </is>
      </c>
      <c r="W38" s="26" t="inlineStr">
        <is>
          <t>VEN-4391-M3TY-2-43-0003</t>
        </is>
      </c>
      <c r="X38" s="26" t="n">
        <v>20</v>
      </c>
      <c r="Y38" s="26" t="inlineStr">
        <is>
          <t>QA</t>
        </is>
      </c>
      <c r="AB38" s="26" t="n">
        <v>39.95</v>
      </c>
      <c r="AE38" s="26" t="n">
        <v>1</v>
      </c>
      <c r="AH38" s="26" t="inlineStr">
        <is>
          <t>QATAR</t>
        </is>
      </c>
      <c r="AI38" s="26" t="inlineStr">
        <is>
          <t>QAR</t>
        </is>
      </c>
    </row>
    <row r="39">
      <c r="A39" s="26" t="n">
        <v>34</v>
      </c>
      <c r="B39" s="26" t="n">
        <v>10202363</v>
      </c>
      <c r="C39" s="26" t="n">
        <v>500029</v>
      </c>
      <c r="D39" s="26" t="inlineStr">
        <is>
          <t>L</t>
        </is>
      </c>
      <c r="G39" s="26" t="inlineStr">
        <is>
          <t>4391-2430003-03L12</t>
        </is>
      </c>
      <c r="H39" s="26">
        <f>LEN(G39)</f>
        <v/>
      </c>
      <c r="I39" s="26" t="inlineStr">
        <is>
          <t>FUSE 22X58 \./ITH TRIP INDICATOR,FR22AM69V63P,SCHNEIDER ELECTRIC</t>
        </is>
      </c>
      <c r="J39" s="26">
        <f>LEN(I39)</f>
        <v/>
      </c>
      <c r="K39" s="26" t="inlineStr">
        <is>
          <t>2300</t>
        </is>
      </c>
      <c r="L39" s="26" t="inlineStr">
        <is>
          <t>NO</t>
        </is>
      </c>
      <c r="M39" s="26" t="inlineStr">
        <is>
          <t>FR22AM69V63P</t>
        </is>
      </c>
      <c r="N39" s="26">
        <f>LEN(M39)</f>
        <v/>
      </c>
      <c r="O39" s="26" t="inlineStr">
        <is>
          <t>SCHNEIDER ELECTRIC</t>
        </is>
      </c>
      <c r="P39" s="26">
        <f>LEN(O39)</f>
        <v/>
      </c>
      <c r="S39" s="26" t="inlineStr">
        <is>
          <t>NO</t>
        </is>
      </c>
      <c r="T39" s="26" t="n">
        <v>40002</v>
      </c>
      <c r="U39" s="26" t="n">
        <v>6</v>
      </c>
      <c r="V39" s="26" t="inlineStr">
        <is>
          <t>0180</t>
        </is>
      </c>
      <c r="W39" s="26" t="inlineStr">
        <is>
          <t>VEN-4391-M3TY-2-43-0003</t>
        </is>
      </c>
      <c r="X39" s="26" t="n">
        <v>20</v>
      </c>
      <c r="Y39" s="26" t="inlineStr">
        <is>
          <t>QA</t>
        </is>
      </c>
      <c r="AB39" s="26" t="n">
        <v>159</v>
      </c>
      <c r="AE39" s="26" t="n">
        <v>1</v>
      </c>
      <c r="AH39" s="26" t="inlineStr">
        <is>
          <t>QATAR</t>
        </is>
      </c>
      <c r="AI39" s="26" t="inlineStr">
        <is>
          <t>QAR</t>
        </is>
      </c>
    </row>
    <row r="40">
      <c r="A40" s="26" t="n">
        <v>35</v>
      </c>
      <c r="B40" s="26" t="n">
        <v>10599849</v>
      </c>
      <c r="C40" s="26" t="n">
        <v>500030</v>
      </c>
      <c r="D40" s="26" t="inlineStr">
        <is>
          <t>L</t>
        </is>
      </c>
      <c r="G40" s="26" t="inlineStr">
        <is>
          <t>4391-2430003-03L13</t>
        </is>
      </c>
      <c r="H40" s="26">
        <f>LEN(G40)</f>
        <v/>
      </c>
      <c r="I40" s="26" t="inlineStr">
        <is>
          <t>FUSE CARRIER 22X58 3P,DF223C,SCHNEIDER ELECTRIC</t>
        </is>
      </c>
      <c r="J40" s="26">
        <f>LEN(I40)</f>
        <v/>
      </c>
      <c r="K40" s="26" t="inlineStr">
        <is>
          <t>2300</t>
        </is>
      </c>
      <c r="L40" s="26" t="inlineStr">
        <is>
          <t>NO</t>
        </is>
      </c>
      <c r="M40" s="26" t="inlineStr">
        <is>
          <t>DF223C</t>
        </is>
      </c>
      <c r="N40" s="26">
        <f>LEN(M40)</f>
        <v/>
      </c>
      <c r="O40" s="26" t="inlineStr">
        <is>
          <t>SCHNEIDER ELECTRIC</t>
        </is>
      </c>
      <c r="P40" s="26">
        <f>LEN(O40)</f>
        <v/>
      </c>
      <c r="S40" s="26" t="inlineStr">
        <is>
          <t>NO</t>
        </is>
      </c>
      <c r="T40" s="26" t="n">
        <v>40002</v>
      </c>
      <c r="U40" s="26" t="n">
        <v>2</v>
      </c>
      <c r="V40" s="26" t="inlineStr">
        <is>
          <t>0190</t>
        </is>
      </c>
      <c r="W40" s="26" t="inlineStr">
        <is>
          <t>VEN-4391-M3TY-2-43-0003</t>
        </is>
      </c>
      <c r="X40" s="26" t="n">
        <v>20</v>
      </c>
      <c r="Y40" s="26" t="inlineStr">
        <is>
          <t>QA</t>
        </is>
      </c>
      <c r="AB40" s="26" t="n">
        <v>253.85</v>
      </c>
      <c r="AE40" s="26" t="n">
        <v>1</v>
      </c>
      <c r="AH40" s="26" t="inlineStr">
        <is>
          <t>QATAR</t>
        </is>
      </c>
      <c r="AI40" s="26" t="inlineStr">
        <is>
          <t>QAR</t>
        </is>
      </c>
    </row>
    <row r="41">
      <c r="A41" s="26" t="n">
        <v>36</v>
      </c>
      <c r="B41" s="26" t="n">
        <v>10258124</v>
      </c>
      <c r="C41" s="26" t="n">
        <v>500031</v>
      </c>
      <c r="D41" s="26" t="inlineStr">
        <is>
          <t>L</t>
        </is>
      </c>
      <c r="G41" s="26" t="inlineStr">
        <is>
          <t>4391-2430003-03L14</t>
        </is>
      </c>
      <c r="H41" s="26">
        <f>LEN(G41)</f>
        <v/>
      </c>
      <c r="I41" s="26" t="inlineStr">
        <is>
          <t>THERMAL OVERLOAD RELAY, TESYS LRD, 23..32 A, CLASS LOA,LRD32,SCHNEIDER ELECTRIC</t>
        </is>
      </c>
      <c r="J41" s="26">
        <f>LEN(I41)</f>
        <v/>
      </c>
      <c r="K41" s="26" t="inlineStr">
        <is>
          <t>2300</t>
        </is>
      </c>
      <c r="L41" s="26" t="inlineStr">
        <is>
          <t>NO</t>
        </is>
      </c>
      <c r="M41" s="26" t="inlineStr">
        <is>
          <t>LRD32</t>
        </is>
      </c>
      <c r="N41" s="26">
        <f>LEN(M41)</f>
        <v/>
      </c>
      <c r="O41" s="26" t="inlineStr">
        <is>
          <t>SCHNEIDER ELECTRIC</t>
        </is>
      </c>
      <c r="P41" s="26">
        <f>LEN(O41)</f>
        <v/>
      </c>
      <c r="S41" s="26" t="inlineStr">
        <is>
          <t>NO</t>
        </is>
      </c>
      <c r="T41" s="26" t="n">
        <v>40002</v>
      </c>
      <c r="U41" s="26" t="n">
        <v>2</v>
      </c>
      <c r="V41" s="26" t="inlineStr">
        <is>
          <t>0200</t>
        </is>
      </c>
      <c r="W41" s="26" t="inlineStr">
        <is>
          <t>VEN-4391-M3TY-2-43-0003</t>
        </is>
      </c>
      <c r="X41" s="26" t="n">
        <v>20</v>
      </c>
      <c r="Y41" s="26" t="inlineStr">
        <is>
          <t>QA</t>
        </is>
      </c>
      <c r="AB41" s="26" t="n">
        <v>237.1</v>
      </c>
      <c r="AE41" s="26" t="n">
        <v>1</v>
      </c>
      <c r="AH41" s="26" t="inlineStr">
        <is>
          <t>QATAR</t>
        </is>
      </c>
      <c r="AI41" s="26" t="inlineStr">
        <is>
          <t>QAR</t>
        </is>
      </c>
    </row>
    <row r="42">
      <c r="A42" s="26" t="n">
        <v>37</v>
      </c>
      <c r="C42" s="26" t="n">
        <v>40003</v>
      </c>
      <c r="D42" s="26" t="inlineStr">
        <is>
          <t>B</t>
        </is>
      </c>
      <c r="H42" s="26">
        <f>LEN(G42)</f>
        <v/>
      </c>
      <c r="I42" s="26" t="inlineStr">
        <is>
          <t>LV SWITCHGEAR</t>
        </is>
      </c>
      <c r="J42" s="26">
        <f>LEN(I42)</f>
        <v/>
      </c>
      <c r="K42" s="26" t="inlineStr">
        <is>
          <t>2300</t>
        </is>
      </c>
      <c r="N42" s="26">
        <f>LEN(M42)</f>
        <v/>
      </c>
      <c r="O42" s="26" t="inlineStr">
        <is>
          <t>SCHNEIDER ELECTRIC</t>
        </is>
      </c>
      <c r="P42" s="26">
        <f>LEN(O42)</f>
        <v/>
      </c>
      <c r="S42" s="26" t="inlineStr">
        <is>
          <t>YES</t>
        </is>
      </c>
      <c r="T42" s="26" t="n">
        <v>40003</v>
      </c>
      <c r="U42" s="26" t="n">
        <v>1</v>
      </c>
      <c r="V42" s="26" t="inlineStr">
        <is>
          <t>0010</t>
        </is>
      </c>
      <c r="W42" s="26" t="inlineStr">
        <is>
          <t>VEN-4391-M3TY-2-43-0003</t>
        </is>
      </c>
      <c r="Y42" s="26" t="inlineStr">
        <is>
          <t>QA</t>
        </is>
      </c>
      <c r="AH42" s="26" t="inlineStr">
        <is>
          <t>QATAR</t>
        </is>
      </c>
    </row>
    <row r="43">
      <c r="A43" s="26" t="n">
        <v>38</v>
      </c>
      <c r="B43" s="26" t="n">
        <v>10305370</v>
      </c>
      <c r="C43" s="26" t="n">
        <v>500006</v>
      </c>
      <c r="D43" s="26" t="inlineStr">
        <is>
          <t>L</t>
        </is>
      </c>
      <c r="G43" s="26" t="inlineStr">
        <is>
          <t>4391-2430003-01L06</t>
        </is>
      </c>
      <c r="H43" s="26">
        <f>LEN(G43)</f>
        <v/>
      </c>
      <c r="I43" s="26" t="inlineStr">
        <is>
          <t>ZELIO SOCKET RXZ - MIXED CONTACT, 10A - &lt; 250V - CONNECTOR - FOR RELAY RXM2.., RXM4..,RXZE2M114M,SCHNEIDER ELECTRIC</t>
        </is>
      </c>
      <c r="J43" s="26">
        <f>LEN(I43)</f>
        <v/>
      </c>
      <c r="K43" s="26" t="inlineStr">
        <is>
          <t>2300</t>
        </is>
      </c>
      <c r="L43" s="26" t="inlineStr">
        <is>
          <t>NO</t>
        </is>
      </c>
      <c r="M43" s="26" t="inlineStr">
        <is>
          <t>RXZE2M114M</t>
        </is>
      </c>
      <c r="N43" s="26">
        <f>LEN(M43)</f>
        <v/>
      </c>
      <c r="O43" s="26" t="inlineStr">
        <is>
          <t>SCHNEIDER ELECTRIC</t>
        </is>
      </c>
      <c r="P43" s="26">
        <f>LEN(O43)</f>
        <v/>
      </c>
      <c r="S43" s="26" t="inlineStr">
        <is>
          <t>NO</t>
        </is>
      </c>
      <c r="T43" s="26" t="n">
        <v>40003</v>
      </c>
      <c r="U43" s="26" t="n">
        <v>16</v>
      </c>
      <c r="V43" s="26" t="inlineStr">
        <is>
          <t>0010</t>
        </is>
      </c>
      <c r="W43" s="26" t="inlineStr">
        <is>
          <t>VEN-4391-M3TY-2-43-0003</t>
        </is>
      </c>
      <c r="X43" s="26" t="n">
        <v>20</v>
      </c>
      <c r="Y43" s="26" t="inlineStr">
        <is>
          <t>QA</t>
        </is>
      </c>
      <c r="AB43" s="26" t="n">
        <v>18.42</v>
      </c>
      <c r="AE43" s="26" t="n">
        <v>3</v>
      </c>
      <c r="AH43" s="26" t="inlineStr">
        <is>
          <t>QATAR</t>
        </is>
      </c>
      <c r="AI43" s="26" t="inlineStr">
        <is>
          <t>QAR</t>
        </is>
      </c>
    </row>
    <row r="44">
      <c r="A44" s="26" t="n">
        <v>39</v>
      </c>
      <c r="B44" s="26" t="n">
        <v>10319351</v>
      </c>
      <c r="C44" s="26" t="n">
        <v>500007</v>
      </c>
      <c r="D44" s="26" t="inlineStr">
        <is>
          <t>L</t>
        </is>
      </c>
      <c r="G44" s="26" t="inlineStr">
        <is>
          <t>4391-2430003-01L07</t>
        </is>
      </c>
      <c r="H44" s="26">
        <f>LEN(G44)</f>
        <v/>
      </c>
      <c r="I44" s="26" t="inlineStr">
        <is>
          <t>MOTOR CONTROLLER LTM R TESYS T - 100..240 V AC, 5...100 A FOR MODBUS,LTMR100MFM,SCHNEIDER ELECTRIC</t>
        </is>
      </c>
      <c r="J44" s="26">
        <f>LEN(I44)</f>
        <v/>
      </c>
      <c r="K44" s="26" t="inlineStr">
        <is>
          <t>2300</t>
        </is>
      </c>
      <c r="L44" s="26" t="inlineStr">
        <is>
          <t>NO</t>
        </is>
      </c>
      <c r="M44" s="26" t="inlineStr">
        <is>
          <t>LTMR100MFM</t>
        </is>
      </c>
      <c r="N44" s="26">
        <f>LEN(M44)</f>
        <v/>
      </c>
      <c r="O44" s="26" t="inlineStr">
        <is>
          <t>SCHNEIDER ELECTRIC</t>
        </is>
      </c>
      <c r="P44" s="26">
        <f>LEN(O44)</f>
        <v/>
      </c>
      <c r="S44" s="26" t="inlineStr">
        <is>
          <t>NO</t>
        </is>
      </c>
      <c r="T44" s="26" t="n">
        <v>40003</v>
      </c>
      <c r="U44" s="26" t="n">
        <v>4</v>
      </c>
      <c r="V44" s="26" t="inlineStr">
        <is>
          <t>0020</t>
        </is>
      </c>
      <c r="W44" s="26" t="inlineStr">
        <is>
          <t>VEN-4391-M3TY-2-43-0003</t>
        </is>
      </c>
      <c r="X44" s="26" t="n">
        <v>20</v>
      </c>
      <c r="Y44" s="26" t="inlineStr">
        <is>
          <t>QA</t>
        </is>
      </c>
      <c r="AB44" s="26" t="n">
        <v>1872.4</v>
      </c>
      <c r="AE44" s="26" t="n">
        <v>2</v>
      </c>
      <c r="AH44" s="26" t="inlineStr">
        <is>
          <t>QATAR</t>
        </is>
      </c>
      <c r="AI44" s="26" t="inlineStr">
        <is>
          <t>QAR</t>
        </is>
      </c>
    </row>
    <row r="45">
      <c r="A45" s="26" t="n">
        <v>40</v>
      </c>
      <c r="B45" s="26" t="n">
        <v>10343706</v>
      </c>
      <c r="C45" s="26" t="n">
        <v>500008</v>
      </c>
      <c r="D45" s="26" t="inlineStr">
        <is>
          <t>L</t>
        </is>
      </c>
      <c r="G45" s="26" t="inlineStr">
        <is>
          <t>4391-2430003-01L08</t>
        </is>
      </c>
      <c r="H45" s="26">
        <f>LEN(G45)</f>
        <v/>
      </c>
      <c r="I45" s="26" t="inlineStr">
        <is>
          <t>EXTENSION MODULE LTM E TESYS T - 100..240 V AC,LTMEV40FM,SCHNEIDER ELECTRIC</t>
        </is>
      </c>
      <c r="J45" s="26">
        <f>LEN(I45)</f>
        <v/>
      </c>
      <c r="K45" s="26" t="inlineStr">
        <is>
          <t>2300</t>
        </is>
      </c>
      <c r="L45" s="26" t="inlineStr">
        <is>
          <t>NO</t>
        </is>
      </c>
      <c r="M45" s="26" t="inlineStr">
        <is>
          <t>LTMEV40FM</t>
        </is>
      </c>
      <c r="N45" s="26">
        <f>LEN(M45)</f>
        <v/>
      </c>
      <c r="O45" s="26" t="inlineStr">
        <is>
          <t>SCHNEIDER ELECTRIC</t>
        </is>
      </c>
      <c r="P45" s="26">
        <f>LEN(O45)</f>
        <v/>
      </c>
      <c r="S45" s="26" t="inlineStr">
        <is>
          <t>NO</t>
        </is>
      </c>
      <c r="T45" s="26" t="n">
        <v>40003</v>
      </c>
      <c r="U45" s="26" t="n">
        <v>4</v>
      </c>
      <c r="V45" s="26" t="inlineStr">
        <is>
          <t>0030</t>
        </is>
      </c>
      <c r="W45" s="26" t="inlineStr">
        <is>
          <t>VEN-4391-M3TY-2-43-0003</t>
        </is>
      </c>
      <c r="X45" s="26" t="n">
        <v>20</v>
      </c>
      <c r="Y45" s="26" t="inlineStr">
        <is>
          <t>QA</t>
        </is>
      </c>
      <c r="AB45" s="26" t="n">
        <v>698.3</v>
      </c>
      <c r="AE45" s="26" t="n">
        <v>2</v>
      </c>
      <c r="AH45" s="26" t="inlineStr">
        <is>
          <t>QATAR</t>
        </is>
      </c>
      <c r="AI45" s="26" t="inlineStr">
        <is>
          <t>QAR</t>
        </is>
      </c>
    </row>
    <row r="46">
      <c r="A46" s="26" t="n">
        <v>41</v>
      </c>
      <c r="B46" s="26" t="n">
        <v>10340165</v>
      </c>
      <c r="C46" s="26" t="n">
        <v>500009</v>
      </c>
      <c r="D46" s="26" t="inlineStr">
        <is>
          <t>L</t>
        </is>
      </c>
      <c r="G46" s="26" t="inlineStr">
        <is>
          <t>4391-2430003-01L09</t>
        </is>
      </c>
      <c r="H46" s="26">
        <f>LEN(G46)</f>
        <v/>
      </c>
      <c r="I46" s="26" t="inlineStr">
        <is>
          <t>OPERATOR CONTROL UNIT LTM CU TESYS T,LTMCU,SCHNEIDER ELECTRIC</t>
        </is>
      </c>
      <c r="J46" s="26">
        <f>LEN(I46)</f>
        <v/>
      </c>
      <c r="K46" s="26" t="inlineStr">
        <is>
          <t>2300</t>
        </is>
      </c>
      <c r="L46" s="26" t="inlineStr">
        <is>
          <t>NO</t>
        </is>
      </c>
      <c r="M46" s="26" t="inlineStr">
        <is>
          <t>LTMCU</t>
        </is>
      </c>
      <c r="N46" s="26">
        <f>LEN(M46)</f>
        <v/>
      </c>
      <c r="O46" s="26" t="inlineStr">
        <is>
          <t>SCHNEIDER ELECTRIC</t>
        </is>
      </c>
      <c r="P46" s="26">
        <f>LEN(O46)</f>
        <v/>
      </c>
      <c r="S46" s="26" t="inlineStr">
        <is>
          <t>NO</t>
        </is>
      </c>
      <c r="T46" s="26" t="n">
        <v>40003</v>
      </c>
      <c r="U46" s="26" t="n">
        <v>4</v>
      </c>
      <c r="V46" s="26" t="inlineStr">
        <is>
          <t>0040</t>
        </is>
      </c>
      <c r="W46" s="26" t="inlineStr">
        <is>
          <t>VEN-4391-M3TY-2-43-0003</t>
        </is>
      </c>
      <c r="X46" s="26" t="n">
        <v>20</v>
      </c>
      <c r="Y46" s="26" t="inlineStr">
        <is>
          <t>QA</t>
        </is>
      </c>
      <c r="AB46" s="26" t="n">
        <v>923.05</v>
      </c>
      <c r="AE46" s="26" t="n">
        <v>2</v>
      </c>
      <c r="AH46" s="26" t="inlineStr">
        <is>
          <t>QATAR</t>
        </is>
      </c>
      <c r="AI46" s="26" t="inlineStr">
        <is>
          <t>QAR</t>
        </is>
      </c>
    </row>
    <row r="47">
      <c r="A47" s="26" t="n">
        <v>42</v>
      </c>
      <c r="B47" s="26" t="n">
        <v>10093780</v>
      </c>
      <c r="C47" s="26" t="n">
        <v>500012</v>
      </c>
      <c r="D47" s="26" t="inlineStr">
        <is>
          <t>L</t>
        </is>
      </c>
      <c r="G47" s="26" t="inlineStr">
        <is>
          <t>4391-2430003-01L12</t>
        </is>
      </c>
      <c r="H47" s="26">
        <f>LEN(G47)</f>
        <v/>
      </c>
      <c r="I47" s="26" t="inlineStr">
        <is>
          <t>CONTACTOR TESYS LC1-D - 3P - AC-3 440V 80 A, COIL 110 V AC,LC1D80F7,SCHNEIDER ELECTRIC</t>
        </is>
      </c>
      <c r="J47" s="26">
        <f>LEN(I47)</f>
        <v/>
      </c>
      <c r="K47" s="26" t="inlineStr">
        <is>
          <t>2300</t>
        </is>
      </c>
      <c r="L47" s="26" t="inlineStr">
        <is>
          <t>NO</t>
        </is>
      </c>
      <c r="M47" s="26" t="inlineStr">
        <is>
          <t>LC1D80F7</t>
        </is>
      </c>
      <c r="N47" s="26">
        <f>LEN(M47)</f>
        <v/>
      </c>
      <c r="O47" s="26" t="inlineStr">
        <is>
          <t>SCHNEIDER ELECTRIC</t>
        </is>
      </c>
      <c r="P47" s="26">
        <f>LEN(O47)</f>
        <v/>
      </c>
      <c r="S47" s="26" t="inlineStr">
        <is>
          <t>NO</t>
        </is>
      </c>
      <c r="T47" s="26" t="n">
        <v>40003</v>
      </c>
      <c r="U47" s="26" t="n">
        <v>4</v>
      </c>
      <c r="V47" s="26" t="inlineStr">
        <is>
          <t>0050</t>
        </is>
      </c>
      <c r="W47" s="26" t="inlineStr">
        <is>
          <t>VEN-4391-M3TY-2-43-0003</t>
        </is>
      </c>
      <c r="X47" s="26" t="n">
        <v>20</v>
      </c>
      <c r="Y47" s="26" t="inlineStr">
        <is>
          <t>QA</t>
        </is>
      </c>
      <c r="AB47" s="26" t="n">
        <v>947.6</v>
      </c>
      <c r="AE47" s="26" t="n">
        <v>2</v>
      </c>
      <c r="AH47" s="26" t="inlineStr">
        <is>
          <t>QATAR</t>
        </is>
      </c>
      <c r="AI47" s="26" t="inlineStr">
        <is>
          <t>QAR</t>
        </is>
      </c>
    </row>
    <row r="48">
      <c r="A48" s="26" t="n">
        <v>43</v>
      </c>
      <c r="B48" s="26" t="n">
        <v>10340187</v>
      </c>
      <c r="C48" s="26" t="n">
        <v>500032</v>
      </c>
      <c r="D48" s="26" t="inlineStr">
        <is>
          <t>L</t>
        </is>
      </c>
      <c r="G48" s="26" t="inlineStr">
        <is>
          <t>4391-2430003-02L20</t>
        </is>
      </c>
      <c r="H48" s="26">
        <f>LEN(G48)</f>
        <v/>
      </c>
      <c r="I48" s="26" t="inlineStr">
        <is>
          <t>SIGNAL LAMP BODY-RED 16MM 48-120VAC,ZB6EG4B,SCHNEIDER ELECTRIC</t>
        </is>
      </c>
      <c r="J48" s="26">
        <f>LEN(I48)</f>
        <v/>
      </c>
      <c r="K48" s="26" t="inlineStr">
        <is>
          <t>2300</t>
        </is>
      </c>
      <c r="L48" s="26" t="inlineStr">
        <is>
          <t>NO</t>
        </is>
      </c>
      <c r="M48" s="26" t="inlineStr">
        <is>
          <t>ZB6EG4B</t>
        </is>
      </c>
      <c r="N48" s="26">
        <f>LEN(M48)</f>
        <v/>
      </c>
      <c r="O48" s="26" t="inlineStr">
        <is>
          <t>SCHNEIDER ELECTRIC</t>
        </is>
      </c>
      <c r="P48" s="26">
        <f>LEN(O48)</f>
        <v/>
      </c>
      <c r="S48" s="26" t="inlineStr">
        <is>
          <t>NO</t>
        </is>
      </c>
      <c r="T48" s="26" t="n">
        <v>40003</v>
      </c>
      <c r="U48" s="26" t="n">
        <v>4</v>
      </c>
      <c r="V48" s="26" t="inlineStr">
        <is>
          <t>0060</t>
        </is>
      </c>
      <c r="W48" s="26" t="inlineStr">
        <is>
          <t>VEN-4391-M3TY-2-43-0003</t>
        </is>
      </c>
      <c r="X48" s="26" t="n">
        <v>20</v>
      </c>
      <c r="Y48" s="26" t="inlineStr">
        <is>
          <t>QA</t>
        </is>
      </c>
      <c r="AB48" s="26" t="n">
        <v>206.04</v>
      </c>
      <c r="AE48" s="26" t="n">
        <v>1</v>
      </c>
      <c r="AH48" s="26" t="inlineStr">
        <is>
          <t>QATAR</t>
        </is>
      </c>
      <c r="AI48" s="26" t="inlineStr">
        <is>
          <t>QAR</t>
        </is>
      </c>
    </row>
    <row r="49">
      <c r="A49" s="26" t="n">
        <v>44</v>
      </c>
      <c r="B49" s="26" t="n">
        <v>10340188</v>
      </c>
      <c r="C49" s="26" t="n">
        <v>500033</v>
      </c>
      <c r="D49" s="26" t="inlineStr">
        <is>
          <t>L</t>
        </is>
      </c>
      <c r="G49" s="26" t="inlineStr">
        <is>
          <t>4391-2430003-02L21</t>
        </is>
      </c>
      <c r="H49" s="26">
        <f>LEN(G49)</f>
        <v/>
      </c>
      <c r="I49" s="26" t="inlineStr">
        <is>
          <t>SIGNAL LAMP HEAD-RED 16MM 48-120VAC,ZB6AV4,SCHNEIDER ELECTRIC</t>
        </is>
      </c>
      <c r="J49" s="26">
        <f>LEN(I49)</f>
        <v/>
      </c>
      <c r="K49" s="26" t="inlineStr">
        <is>
          <t>2300</t>
        </is>
      </c>
      <c r="L49" s="26" t="inlineStr">
        <is>
          <t>NO</t>
        </is>
      </c>
      <c r="M49" s="26" t="inlineStr">
        <is>
          <t>ZB6AV4</t>
        </is>
      </c>
      <c r="N49" s="26">
        <f>LEN(M49)</f>
        <v/>
      </c>
      <c r="O49" s="26" t="inlineStr">
        <is>
          <t>SCHNEIDER ELECTRIC</t>
        </is>
      </c>
      <c r="P49" s="26">
        <f>LEN(O49)</f>
        <v/>
      </c>
      <c r="S49" s="26" t="inlineStr">
        <is>
          <t>NO</t>
        </is>
      </c>
      <c r="T49" s="26" t="n">
        <v>40003</v>
      </c>
      <c r="U49" s="26" t="n">
        <v>4</v>
      </c>
      <c r="V49" s="26" t="inlineStr">
        <is>
          <t>0070</t>
        </is>
      </c>
      <c r="W49" s="26" t="inlineStr">
        <is>
          <t>VEN-4391-M3TY-2-43-0003</t>
        </is>
      </c>
      <c r="X49" s="26" t="n">
        <v>20</v>
      </c>
      <c r="Y49" s="26" t="inlineStr">
        <is>
          <t>QA</t>
        </is>
      </c>
      <c r="AB49" s="26" t="n">
        <v>34.85</v>
      </c>
      <c r="AE49" s="26" t="n">
        <v>1</v>
      </c>
      <c r="AH49" s="26" t="inlineStr">
        <is>
          <t>QATAR</t>
        </is>
      </c>
      <c r="AI49" s="26" t="inlineStr">
        <is>
          <t>QAR</t>
        </is>
      </c>
    </row>
    <row r="50">
      <c r="A50" s="26" t="n">
        <v>45</v>
      </c>
      <c r="B50" s="26" t="n">
        <v>10340189</v>
      </c>
      <c r="C50" s="26" t="n">
        <v>500034</v>
      </c>
      <c r="D50" s="26" t="inlineStr">
        <is>
          <t>L</t>
        </is>
      </c>
      <c r="G50" s="26" t="inlineStr">
        <is>
          <t>4391-2430003-02L22</t>
        </is>
      </c>
      <c r="H50" s="26">
        <f>LEN(G50)</f>
        <v/>
      </c>
      <c r="I50" s="26" t="inlineStr">
        <is>
          <t>SIGNAL LAMP BODY-GREEN 16MM 48-120VAC,ZB6EG3B,SCHNEIDER ELECTRIC</t>
        </is>
      </c>
      <c r="J50" s="26">
        <f>LEN(I50)</f>
        <v/>
      </c>
      <c r="K50" s="26" t="inlineStr">
        <is>
          <t>2300</t>
        </is>
      </c>
      <c r="L50" s="26" t="inlineStr">
        <is>
          <t>NO</t>
        </is>
      </c>
      <c r="M50" s="26" t="inlineStr">
        <is>
          <t>ZB6EG3B</t>
        </is>
      </c>
      <c r="N50" s="26">
        <f>LEN(M50)</f>
        <v/>
      </c>
      <c r="O50" s="26" t="inlineStr">
        <is>
          <t>SCHNEIDER ELECTRIC</t>
        </is>
      </c>
      <c r="P50" s="26">
        <f>LEN(O50)</f>
        <v/>
      </c>
      <c r="S50" s="26" t="inlineStr">
        <is>
          <t>NO</t>
        </is>
      </c>
      <c r="T50" s="26" t="n">
        <v>40003</v>
      </c>
      <c r="U50" s="26" t="n">
        <v>4</v>
      </c>
      <c r="V50" s="26" t="inlineStr">
        <is>
          <t>0080</t>
        </is>
      </c>
      <c r="W50" s="26" t="inlineStr">
        <is>
          <t>VEN-4391-M3TY-2-43-0003</t>
        </is>
      </c>
      <c r="X50" s="26" t="n">
        <v>20</v>
      </c>
      <c r="Y50" s="26" t="inlineStr">
        <is>
          <t>QA</t>
        </is>
      </c>
      <c r="AB50" s="26" t="n">
        <v>210.96</v>
      </c>
      <c r="AE50" s="26" t="n">
        <v>1</v>
      </c>
      <c r="AH50" s="26" t="inlineStr">
        <is>
          <t>QATAR</t>
        </is>
      </c>
      <c r="AI50" s="26" t="inlineStr">
        <is>
          <t>QAR</t>
        </is>
      </c>
    </row>
    <row r="51">
      <c r="A51" s="26" t="n">
        <v>46</v>
      </c>
      <c r="B51" s="26" t="n">
        <v>10340200</v>
      </c>
      <c r="C51" s="26" t="n">
        <v>500035</v>
      </c>
      <c r="D51" s="26" t="inlineStr">
        <is>
          <t>L</t>
        </is>
      </c>
      <c r="G51" s="26" t="inlineStr">
        <is>
          <t>4391-2430003-02L23</t>
        </is>
      </c>
      <c r="H51" s="26">
        <f>LEN(G51)</f>
        <v/>
      </c>
      <c r="I51" s="26" t="inlineStr">
        <is>
          <t>SIGNAL LAMP HEAD-GREEN 16MM 48-120VAC,ZB6AV3,SCHNEIDER ELECTRIC</t>
        </is>
      </c>
      <c r="J51" s="26">
        <f>LEN(I51)</f>
        <v/>
      </c>
      <c r="K51" s="26" t="inlineStr">
        <is>
          <t>2300</t>
        </is>
      </c>
      <c r="L51" s="26" t="inlineStr">
        <is>
          <t>NO</t>
        </is>
      </c>
      <c r="M51" s="26" t="inlineStr">
        <is>
          <t>ZB6AV3</t>
        </is>
      </c>
      <c r="N51" s="26">
        <f>LEN(M51)</f>
        <v/>
      </c>
      <c r="O51" s="26" t="inlineStr">
        <is>
          <t>SCHNEIDER ELECTRIC</t>
        </is>
      </c>
      <c r="P51" s="26">
        <f>LEN(O51)</f>
        <v/>
      </c>
      <c r="S51" s="26" t="inlineStr">
        <is>
          <t>NO</t>
        </is>
      </c>
      <c r="T51" s="26" t="n">
        <v>40003</v>
      </c>
      <c r="U51" s="26" t="n">
        <v>4</v>
      </c>
      <c r="V51" s="26" t="inlineStr">
        <is>
          <t>0090</t>
        </is>
      </c>
      <c r="W51" s="26" t="inlineStr">
        <is>
          <t>VEN-4391-M3TY-2-43-0003</t>
        </is>
      </c>
      <c r="X51" s="26" t="n">
        <v>20</v>
      </c>
      <c r="Y51" s="26" t="inlineStr">
        <is>
          <t>QA</t>
        </is>
      </c>
      <c r="AB51" s="26" t="n">
        <v>32.85</v>
      </c>
      <c r="AE51" s="26" t="n">
        <v>1</v>
      </c>
      <c r="AH51" s="26" t="inlineStr">
        <is>
          <t>QATAR</t>
        </is>
      </c>
      <c r="AI51" s="26" t="inlineStr">
        <is>
          <t>QAR</t>
        </is>
      </c>
    </row>
    <row r="52">
      <c r="A52" s="26" t="n">
        <v>47</v>
      </c>
      <c r="B52" s="26" t="n">
        <v>10343703</v>
      </c>
      <c r="C52" s="26" t="n">
        <v>500036</v>
      </c>
      <c r="D52" s="26" t="inlineStr">
        <is>
          <t>L</t>
        </is>
      </c>
      <c r="G52" s="26" t="inlineStr">
        <is>
          <t>4391-2430003-02L24</t>
        </is>
      </c>
      <c r="H52" s="26">
        <f>LEN(G52)</f>
        <v/>
      </c>
      <c r="I52" s="26" t="inlineStr">
        <is>
          <t>SIGNAL LAMP BODY-YELLOW 16MM 48-120VAC,ZB6EG5B,SCHNEIDER ELECTRIC</t>
        </is>
      </c>
      <c r="J52" s="26">
        <f>LEN(I52)</f>
        <v/>
      </c>
      <c r="K52" s="26" t="inlineStr">
        <is>
          <t>2300</t>
        </is>
      </c>
      <c r="L52" s="26" t="inlineStr">
        <is>
          <t>NO</t>
        </is>
      </c>
      <c r="M52" s="26" t="inlineStr">
        <is>
          <t>ZB6EG5B</t>
        </is>
      </c>
      <c r="N52" s="26">
        <f>LEN(M52)</f>
        <v/>
      </c>
      <c r="O52" s="26" t="inlineStr">
        <is>
          <t>SCHNEIDER ELECTRIC</t>
        </is>
      </c>
      <c r="P52" s="26">
        <f>LEN(O52)</f>
        <v/>
      </c>
      <c r="S52" s="26" t="inlineStr">
        <is>
          <t>NO</t>
        </is>
      </c>
      <c r="T52" s="26" t="n">
        <v>40003</v>
      </c>
      <c r="U52" s="26" t="n">
        <v>4</v>
      </c>
      <c r="V52" s="26" t="inlineStr">
        <is>
          <t>0100</t>
        </is>
      </c>
      <c r="W52" s="26" t="inlineStr">
        <is>
          <t>VEN-4391-M3TY-2-43-0003</t>
        </is>
      </c>
      <c r="X52" s="26" t="n">
        <v>20</v>
      </c>
      <c r="Y52" s="26" t="inlineStr">
        <is>
          <t>QA</t>
        </is>
      </c>
      <c r="AB52" s="26" t="n">
        <v>261.78</v>
      </c>
      <c r="AE52" s="26" t="n">
        <v>1</v>
      </c>
      <c r="AH52" s="26" t="inlineStr">
        <is>
          <t>QATAR</t>
        </is>
      </c>
      <c r="AI52" s="26" t="inlineStr">
        <is>
          <t>QAR</t>
        </is>
      </c>
    </row>
    <row r="53">
      <c r="A53" s="26" t="n">
        <v>48</v>
      </c>
      <c r="B53" s="26" t="n">
        <v>10343704</v>
      </c>
      <c r="C53" s="26" t="n">
        <v>500037</v>
      </c>
      <c r="D53" s="26" t="inlineStr">
        <is>
          <t>L</t>
        </is>
      </c>
      <c r="G53" s="26" t="inlineStr">
        <is>
          <t>4391-2430003-03L01</t>
        </is>
      </c>
      <c r="H53" s="26">
        <f>LEN(G53)</f>
        <v/>
      </c>
      <c r="I53" s="26" t="inlineStr">
        <is>
          <t>SIGNAL LAMP HEAD-YELLOW 16MM 48-120VAC,ZB6AV5,SCHNEIDER ELECTRIC</t>
        </is>
      </c>
      <c r="J53" s="26">
        <f>LEN(I53)</f>
        <v/>
      </c>
      <c r="K53" s="26" t="inlineStr">
        <is>
          <t>2300</t>
        </is>
      </c>
      <c r="L53" s="26" t="inlineStr">
        <is>
          <t>NO</t>
        </is>
      </c>
      <c r="M53" s="26" t="inlineStr">
        <is>
          <t>ZB6AV5</t>
        </is>
      </c>
      <c r="N53" s="26">
        <f>LEN(M53)</f>
        <v/>
      </c>
      <c r="O53" s="26" t="inlineStr">
        <is>
          <t>SCHNEIDER ELECTRIC</t>
        </is>
      </c>
      <c r="P53" s="26">
        <f>LEN(O53)</f>
        <v/>
      </c>
      <c r="S53" s="26" t="inlineStr">
        <is>
          <t>NO</t>
        </is>
      </c>
      <c r="T53" s="26" t="n">
        <v>40003</v>
      </c>
      <c r="U53" s="26" t="n">
        <v>4</v>
      </c>
      <c r="V53" s="26" t="inlineStr">
        <is>
          <t>0110</t>
        </is>
      </c>
      <c r="W53" s="26" t="inlineStr">
        <is>
          <t>VEN-4391-M3TY-2-43-0003</t>
        </is>
      </c>
      <c r="X53" s="26" t="n">
        <v>20</v>
      </c>
      <c r="Y53" s="26" t="inlineStr">
        <is>
          <t>QA</t>
        </is>
      </c>
      <c r="AB53" s="26" t="n">
        <v>36.7</v>
      </c>
      <c r="AE53" s="26" t="n">
        <v>1</v>
      </c>
      <c r="AH53" s="26" t="inlineStr">
        <is>
          <t>QATAR</t>
        </is>
      </c>
      <c r="AI53" s="26" t="inlineStr">
        <is>
          <t>QAR</t>
        </is>
      </c>
    </row>
    <row r="54">
      <c r="A54" s="26" t="n">
        <v>49</v>
      </c>
      <c r="B54" s="26" t="n">
        <v>10340184</v>
      </c>
      <c r="C54" s="26" t="n">
        <v>500038</v>
      </c>
      <c r="D54" s="26" t="inlineStr">
        <is>
          <t>L</t>
        </is>
      </c>
      <c r="G54" s="26" t="inlineStr">
        <is>
          <t>4391-2430003-03L02</t>
        </is>
      </c>
      <c r="H54" s="26">
        <f>LEN(G54)</f>
        <v/>
      </c>
      <c r="I54" s="26" t="inlineStr">
        <is>
          <t>PUSHBUTTON SPRING RETURN 16MM BALCK 1NO+1NC,XB6AA25B,SCHNEIDER ELECTRIC</t>
        </is>
      </c>
      <c r="J54" s="26">
        <f>LEN(I54)</f>
        <v/>
      </c>
      <c r="K54" s="26" t="inlineStr">
        <is>
          <t>2300</t>
        </is>
      </c>
      <c r="L54" s="26" t="inlineStr">
        <is>
          <t>NO</t>
        </is>
      </c>
      <c r="M54" s="26" t="inlineStr">
        <is>
          <t>XB6AA25B</t>
        </is>
      </c>
      <c r="N54" s="26">
        <f>LEN(M54)</f>
        <v/>
      </c>
      <c r="O54" s="26" t="inlineStr">
        <is>
          <t>SCHNEIDER ELECTRIC</t>
        </is>
      </c>
      <c r="P54" s="26">
        <f>LEN(O54)</f>
        <v/>
      </c>
      <c r="S54" s="26" t="inlineStr">
        <is>
          <t>NO</t>
        </is>
      </c>
      <c r="T54" s="26" t="n">
        <v>40003</v>
      </c>
      <c r="U54" s="26" t="n">
        <v>4</v>
      </c>
      <c r="V54" s="26" t="inlineStr">
        <is>
          <t>0120</t>
        </is>
      </c>
      <c r="W54" s="26" t="inlineStr">
        <is>
          <t>VEN-4391-M3TY-2-43-0003</t>
        </is>
      </c>
      <c r="X54" s="26" t="n">
        <v>20</v>
      </c>
      <c r="Y54" s="26" t="inlineStr">
        <is>
          <t>QA</t>
        </is>
      </c>
      <c r="AB54" s="26" t="n">
        <v>112.3</v>
      </c>
      <c r="AE54" s="26" t="n">
        <v>1</v>
      </c>
      <c r="AH54" s="26" t="inlineStr">
        <is>
          <t>QATAR</t>
        </is>
      </c>
      <c r="AI54" s="26" t="inlineStr">
        <is>
          <t>QAR</t>
        </is>
      </c>
    </row>
    <row r="55">
      <c r="A55" s="26" t="n">
        <v>50</v>
      </c>
      <c r="B55" s="26" t="n">
        <v>10343571</v>
      </c>
      <c r="C55" s="26" t="n">
        <v>500039</v>
      </c>
      <c r="D55" s="26" t="inlineStr">
        <is>
          <t>L</t>
        </is>
      </c>
      <c r="G55" s="26" t="inlineStr">
        <is>
          <t>4391-2430003-03L03</t>
        </is>
      </c>
      <c r="H55" s="26">
        <f>LEN(G55)</f>
        <v/>
      </c>
      <c r="I55" s="26" t="inlineStr">
        <is>
          <t>PUSHBUTTON MUSHROOM HEAD 16MM RED 1NO+1NC,XB6AS8349B,SCHNEIDER ELECTRIC</t>
        </is>
      </c>
      <c r="J55" s="26">
        <f>LEN(I55)</f>
        <v/>
      </c>
      <c r="K55" s="26" t="inlineStr">
        <is>
          <t>2300</t>
        </is>
      </c>
      <c r="L55" s="26" t="inlineStr">
        <is>
          <t>NO</t>
        </is>
      </c>
      <c r="M55" s="26" t="inlineStr">
        <is>
          <t>XB6AS8349B</t>
        </is>
      </c>
      <c r="N55" s="26">
        <f>LEN(M55)</f>
        <v/>
      </c>
      <c r="O55" s="26" t="inlineStr">
        <is>
          <t>SCHNEIDER ELECTRIC</t>
        </is>
      </c>
      <c r="P55" s="26">
        <f>LEN(O55)</f>
        <v/>
      </c>
      <c r="S55" s="26" t="inlineStr">
        <is>
          <t>NO</t>
        </is>
      </c>
      <c r="T55" s="26" t="n">
        <v>40003</v>
      </c>
      <c r="U55" s="26" t="n">
        <v>4</v>
      </c>
      <c r="V55" s="26" t="inlineStr">
        <is>
          <t>0130</t>
        </is>
      </c>
      <c r="W55" s="26" t="inlineStr">
        <is>
          <t>VEN-4391-M3TY-2-43-0003</t>
        </is>
      </c>
      <c r="X55" s="26" t="n">
        <v>20</v>
      </c>
      <c r="Y55" s="26" t="inlineStr">
        <is>
          <t>QA</t>
        </is>
      </c>
      <c r="AB55" s="26" t="n">
        <v>195.55</v>
      </c>
      <c r="AE55" s="26" t="n">
        <v>1</v>
      </c>
      <c r="AH55" s="26" t="inlineStr">
        <is>
          <t>QATAR</t>
        </is>
      </c>
      <c r="AI55" s="26" t="inlineStr">
        <is>
          <t>QAR</t>
        </is>
      </c>
    </row>
    <row r="56">
      <c r="A56" s="26" t="n">
        <v>51</v>
      </c>
      <c r="B56" s="26" t="n">
        <v>10340201</v>
      </c>
      <c r="C56" s="26" t="n">
        <v>500040</v>
      </c>
      <c r="D56" s="26" t="inlineStr">
        <is>
          <t>L</t>
        </is>
      </c>
      <c r="G56" s="26" t="inlineStr">
        <is>
          <t>4391-2430003-03L04</t>
        </is>
      </c>
      <c r="H56" s="26">
        <f>LEN(G56)</f>
        <v/>
      </c>
      <c r="I56" s="26" t="inlineStr">
        <is>
          <t>PUSHBUTTON SPRING RETURN 16MM RED 1NC,XB6AA42B,SCHNEIDER ELECTRIC</t>
        </is>
      </c>
      <c r="J56" s="26">
        <f>LEN(I56)</f>
        <v/>
      </c>
      <c r="K56" s="26" t="inlineStr">
        <is>
          <t>2300</t>
        </is>
      </c>
      <c r="L56" s="26" t="inlineStr">
        <is>
          <t>NO</t>
        </is>
      </c>
      <c r="M56" s="26" t="inlineStr">
        <is>
          <t>XB6AA42B</t>
        </is>
      </c>
      <c r="N56" s="26">
        <f>LEN(M56)</f>
        <v/>
      </c>
      <c r="O56" s="26" t="inlineStr">
        <is>
          <t>SCHNEIDER ELECTRIC</t>
        </is>
      </c>
      <c r="P56" s="26">
        <f>LEN(O56)</f>
        <v/>
      </c>
      <c r="S56" s="26" t="inlineStr">
        <is>
          <t>NO</t>
        </is>
      </c>
      <c r="T56" s="26" t="n">
        <v>40003</v>
      </c>
      <c r="U56" s="26" t="n">
        <v>4</v>
      </c>
      <c r="V56" s="26" t="inlineStr">
        <is>
          <t>0140</t>
        </is>
      </c>
      <c r="W56" s="26" t="inlineStr">
        <is>
          <t>VEN-4391-M3TY-2-43-0003</t>
        </is>
      </c>
      <c r="X56" s="26" t="n">
        <v>20</v>
      </c>
      <c r="Y56" s="26" t="inlineStr">
        <is>
          <t>QA</t>
        </is>
      </c>
      <c r="AB56" s="26" t="n">
        <v>101.88</v>
      </c>
      <c r="AE56" s="26" t="n">
        <v>1</v>
      </c>
      <c r="AH56" s="26" t="inlineStr">
        <is>
          <t>QATAR</t>
        </is>
      </c>
      <c r="AI56" s="26" t="inlineStr">
        <is>
          <t>QAR</t>
        </is>
      </c>
    </row>
    <row r="57">
      <c r="A57" s="26" t="n">
        <v>52</v>
      </c>
      <c r="B57" s="26" t="n">
        <v>10340202</v>
      </c>
      <c r="C57" s="26" t="n">
        <v>500041</v>
      </c>
      <c r="D57" s="26" t="inlineStr">
        <is>
          <t>L</t>
        </is>
      </c>
      <c r="G57" s="26" t="inlineStr">
        <is>
          <t>4391-2430003-03L05</t>
        </is>
      </c>
      <c r="H57" s="26">
        <f>LEN(G57)</f>
        <v/>
      </c>
      <c r="I57" s="26" t="inlineStr">
        <is>
          <t>PUSHBUTTON SPRING RETURN 16MM GREEN 1NC,XB6AA31B,SCHNEIDER ELECTRIC</t>
        </is>
      </c>
      <c r="J57" s="26">
        <f>LEN(I57)</f>
        <v/>
      </c>
      <c r="K57" s="26" t="inlineStr">
        <is>
          <t>2300</t>
        </is>
      </c>
      <c r="L57" s="26" t="inlineStr">
        <is>
          <t>NO</t>
        </is>
      </c>
      <c r="M57" s="26" t="inlineStr">
        <is>
          <t>XB6AA31B</t>
        </is>
      </c>
      <c r="N57" s="26">
        <f>LEN(M57)</f>
        <v/>
      </c>
      <c r="O57" s="26" t="inlineStr">
        <is>
          <t>SCHNEIDER ELECTRIC</t>
        </is>
      </c>
      <c r="P57" s="26">
        <f>LEN(O57)</f>
        <v/>
      </c>
      <c r="S57" s="26" t="inlineStr">
        <is>
          <t>NO</t>
        </is>
      </c>
      <c r="T57" s="26" t="n">
        <v>40003</v>
      </c>
      <c r="U57" s="26" t="n">
        <v>4</v>
      </c>
      <c r="V57" s="26" t="inlineStr">
        <is>
          <t>0150</t>
        </is>
      </c>
      <c r="W57" s="26" t="inlineStr">
        <is>
          <t>VEN-4391-M3TY-2-43-0003</t>
        </is>
      </c>
      <c r="X57" s="26" t="n">
        <v>20</v>
      </c>
      <c r="Y57" s="26" t="inlineStr">
        <is>
          <t>QA</t>
        </is>
      </c>
      <c r="AB57" s="26" t="n">
        <v>91.25</v>
      </c>
      <c r="AE57" s="26" t="n">
        <v>1</v>
      </c>
      <c r="AH57" s="26" t="inlineStr">
        <is>
          <t>QATAR</t>
        </is>
      </c>
      <c r="AI57" s="26" t="inlineStr">
        <is>
          <t>QAR</t>
        </is>
      </c>
    </row>
    <row r="58">
      <c r="A58" s="26" t="n">
        <v>53</v>
      </c>
      <c r="B58" s="26" t="n">
        <v>10626664</v>
      </c>
      <c r="C58" s="26" t="n">
        <v>500042</v>
      </c>
      <c r="D58" s="26" t="inlineStr">
        <is>
          <t>L</t>
        </is>
      </c>
      <c r="G58" s="26" t="inlineStr">
        <is>
          <t>4391-2430003-03L06</t>
        </is>
      </c>
      <c r="H58" s="26">
        <f>LEN(G58)</f>
        <v/>
      </c>
      <c r="I58" s="26" t="inlineStr">
        <is>
          <t>AC AMMETER 75/1A C:1 48X48 6*IN 0-75-450A,FQ0407 HA756SAASNSSSYS,ISKRA</t>
        </is>
      </c>
      <c r="J58" s="26">
        <f>LEN(I58)</f>
        <v/>
      </c>
      <c r="K58" s="26" t="inlineStr">
        <is>
          <t>2300</t>
        </is>
      </c>
      <c r="L58" s="26" t="inlineStr">
        <is>
          <t>NO</t>
        </is>
      </c>
      <c r="M58" s="26" t="inlineStr">
        <is>
          <t>FQ0407 HA756SAASNSSSYS</t>
        </is>
      </c>
      <c r="N58" s="26">
        <f>LEN(M58)</f>
        <v/>
      </c>
      <c r="O58" s="26" t="inlineStr">
        <is>
          <t>ISKRA</t>
        </is>
      </c>
      <c r="P58" s="26">
        <f>LEN(O58)</f>
        <v/>
      </c>
      <c r="S58" s="26" t="inlineStr">
        <is>
          <t>NO</t>
        </is>
      </c>
      <c r="T58" s="26" t="n">
        <v>40003</v>
      </c>
      <c r="U58" s="26" t="n">
        <v>2</v>
      </c>
      <c r="V58" s="26" t="inlineStr">
        <is>
          <t>0160</t>
        </is>
      </c>
      <c r="W58" s="26" t="inlineStr">
        <is>
          <t>VEN-4391-M3TY-2-43-0003</t>
        </is>
      </c>
      <c r="X58" s="26" t="n">
        <v>20</v>
      </c>
      <c r="Y58" s="26" t="inlineStr">
        <is>
          <t>QA</t>
        </is>
      </c>
      <c r="AB58" s="26" t="n">
        <v>1015.35</v>
      </c>
      <c r="AE58" s="26" t="n">
        <v>1</v>
      </c>
      <c r="AH58" s="26" t="inlineStr">
        <is>
          <t>QATAR</t>
        </is>
      </c>
      <c r="AI58" s="26" t="inlineStr">
        <is>
          <t>QAR</t>
        </is>
      </c>
    </row>
    <row r="59">
      <c r="A59" s="26" t="n">
        <v>54</v>
      </c>
      <c r="B59" s="26" t="n">
        <v>10626569</v>
      </c>
      <c r="C59" s="26" t="n">
        <v>500043</v>
      </c>
      <c r="D59" s="26" t="inlineStr">
        <is>
          <t>L</t>
        </is>
      </c>
      <c r="G59" s="26" t="inlineStr">
        <is>
          <t>4391-2430003-03L07</t>
        </is>
      </c>
      <c r="H59" s="26">
        <f>LEN(G59)</f>
        <v/>
      </c>
      <c r="I59" s="26" t="inlineStr">
        <is>
          <t>AC AMMETER 40/1A C:1 48X48 6*IN 0-40-240A,FQ0407 HA406SAASNSSSYS,ISKRA</t>
        </is>
      </c>
      <c r="J59" s="26">
        <f>LEN(I59)</f>
        <v/>
      </c>
      <c r="K59" s="26" t="inlineStr">
        <is>
          <t>2300</t>
        </is>
      </c>
      <c r="L59" s="26" t="inlineStr">
        <is>
          <t>NO</t>
        </is>
      </c>
      <c r="M59" s="26" t="inlineStr">
        <is>
          <t>FQ0407 HA406SAASNSSSYS</t>
        </is>
      </c>
      <c r="N59" s="26">
        <f>LEN(M59)</f>
        <v/>
      </c>
      <c r="O59" s="26" t="inlineStr">
        <is>
          <t>ISKRA</t>
        </is>
      </c>
      <c r="P59" s="26">
        <f>LEN(O59)</f>
        <v/>
      </c>
      <c r="S59" s="26" t="inlineStr">
        <is>
          <t>NO</t>
        </is>
      </c>
      <c r="T59" s="26" t="n">
        <v>40003</v>
      </c>
      <c r="U59" s="26" t="n">
        <v>2</v>
      </c>
      <c r="V59" s="26" t="inlineStr">
        <is>
          <t>0170</t>
        </is>
      </c>
      <c r="W59" s="26" t="inlineStr">
        <is>
          <t>VEN-4391-M3TY-2-43-0003</t>
        </is>
      </c>
      <c r="X59" s="26" t="n">
        <v>20</v>
      </c>
      <c r="Y59" s="26" t="inlineStr">
        <is>
          <t>QA</t>
        </is>
      </c>
      <c r="AB59" s="26" t="n">
        <v>1021.5</v>
      </c>
      <c r="AE59" s="26" t="n">
        <v>1</v>
      </c>
      <c r="AH59" s="26" t="inlineStr">
        <is>
          <t>QATAR</t>
        </is>
      </c>
      <c r="AI59" s="26" t="inlineStr">
        <is>
          <t>QAR</t>
        </is>
      </c>
    </row>
    <row r="60">
      <c r="A60" s="26" t="n">
        <v>55</v>
      </c>
      <c r="B60" s="26" t="n">
        <v>10393417</v>
      </c>
      <c r="C60" s="26" t="n">
        <v>500044</v>
      </c>
      <c r="D60" s="26" t="inlineStr">
        <is>
          <t>L</t>
        </is>
      </c>
      <c r="G60" s="26" t="inlineStr">
        <is>
          <t>4391-2430003-03L08</t>
        </is>
      </c>
      <c r="H60" s="26">
        <f>LEN(G60)</f>
        <v/>
      </c>
      <c r="I60" s="26" t="inlineStr">
        <is>
          <t>MINIATURE CIRCUIT BREAKER IC60H, 2P,4A,A9F84204,SCHNEIDER ELECTRIC</t>
        </is>
      </c>
      <c r="J60" s="26">
        <f>LEN(I60)</f>
        <v/>
      </c>
      <c r="K60" s="26" t="inlineStr">
        <is>
          <t>2300</t>
        </is>
      </c>
      <c r="L60" s="26" t="inlineStr">
        <is>
          <t>NO</t>
        </is>
      </c>
      <c r="M60" s="26" t="inlineStr">
        <is>
          <t>A9F84204</t>
        </is>
      </c>
      <c r="N60" s="26">
        <f>LEN(M60)</f>
        <v/>
      </c>
      <c r="O60" s="26" t="inlineStr">
        <is>
          <t>SCHNEIDER ELECTRIC</t>
        </is>
      </c>
      <c r="P60" s="26">
        <f>LEN(O60)</f>
        <v/>
      </c>
      <c r="S60" s="26" t="inlineStr">
        <is>
          <t>NO</t>
        </is>
      </c>
      <c r="T60" s="26" t="n">
        <v>40003</v>
      </c>
      <c r="U60" s="26" t="n">
        <v>8</v>
      </c>
      <c r="V60" s="26" t="inlineStr">
        <is>
          <t>0180</t>
        </is>
      </c>
      <c r="W60" s="26" t="inlineStr">
        <is>
          <t>VEN-4391-M3TY-2-43-0003</t>
        </is>
      </c>
      <c r="X60" s="26" t="n">
        <v>20</v>
      </c>
      <c r="Y60" s="26" t="inlineStr">
        <is>
          <t>QA</t>
        </is>
      </c>
      <c r="AB60" s="26" t="n">
        <v>113.7</v>
      </c>
      <c r="AE60" s="26" t="n">
        <v>2</v>
      </c>
      <c r="AH60" s="26" t="inlineStr">
        <is>
          <t>QATAR</t>
        </is>
      </c>
      <c r="AI60" s="26" t="inlineStr">
        <is>
          <t>QAR</t>
        </is>
      </c>
    </row>
    <row r="61">
      <c r="A61" s="26" t="n">
        <v>56</v>
      </c>
      <c r="C61" s="26" t="n">
        <v>40004</v>
      </c>
      <c r="D61" s="26" t="inlineStr">
        <is>
          <t>B</t>
        </is>
      </c>
      <c r="H61" s="26">
        <f>LEN(G61)</f>
        <v/>
      </c>
      <c r="I61" s="26" t="inlineStr">
        <is>
          <t>LV SWITCHGEAR</t>
        </is>
      </c>
      <c r="J61" s="26">
        <f>LEN(I61)</f>
        <v/>
      </c>
      <c r="K61" s="26" t="inlineStr">
        <is>
          <t>2300</t>
        </is>
      </c>
      <c r="N61" s="26">
        <f>LEN(M61)</f>
        <v/>
      </c>
      <c r="O61" s="26" t="inlineStr">
        <is>
          <t>SCHNEIDER ELECTRIC</t>
        </is>
      </c>
      <c r="P61" s="26">
        <f>LEN(O61)</f>
        <v/>
      </c>
      <c r="S61" s="26" t="inlineStr">
        <is>
          <t>YES</t>
        </is>
      </c>
      <c r="T61" s="26" t="n">
        <v>40004</v>
      </c>
      <c r="U61" s="26" t="n">
        <v>1</v>
      </c>
      <c r="V61" s="26" t="inlineStr">
        <is>
          <t>0010</t>
        </is>
      </c>
      <c r="W61" s="26" t="inlineStr">
        <is>
          <t>VEN-4391-M3TY-2-43-0003</t>
        </is>
      </c>
      <c r="Y61" s="26" t="inlineStr">
        <is>
          <t>QA</t>
        </is>
      </c>
      <c r="AH61" s="26" t="inlineStr">
        <is>
          <t>QATAR</t>
        </is>
      </c>
    </row>
    <row r="62">
      <c r="A62" s="26" t="n">
        <v>57</v>
      </c>
      <c r="B62" s="26" t="n">
        <v>10095836</v>
      </c>
      <c r="C62" s="26" t="n">
        <v>500045</v>
      </c>
      <c r="D62" s="26" t="inlineStr">
        <is>
          <t>L</t>
        </is>
      </c>
      <c r="G62" s="26" t="inlineStr">
        <is>
          <t>4391-2430003-02L02</t>
        </is>
      </c>
      <c r="H62" s="26">
        <f>LEN(G62)</f>
        <v/>
      </c>
      <c r="I62" s="26" t="inlineStr">
        <is>
          <t>FUSE LINK TIA 20,82130/106,BUSSMAN</t>
        </is>
      </c>
      <c r="J62" s="26">
        <f>LEN(I62)</f>
        <v/>
      </c>
      <c r="K62" s="26" t="inlineStr">
        <is>
          <t>2300</t>
        </is>
      </c>
      <c r="L62" s="26" t="inlineStr">
        <is>
          <t>NO</t>
        </is>
      </c>
      <c r="M62" s="26" t="inlineStr">
        <is>
          <t>82130/106</t>
        </is>
      </c>
      <c r="N62" s="26">
        <f>LEN(M62)</f>
        <v/>
      </c>
      <c r="O62" s="26" t="inlineStr">
        <is>
          <t>BUSSMAN</t>
        </is>
      </c>
      <c r="P62" s="26">
        <f>LEN(O62)</f>
        <v/>
      </c>
      <c r="S62" s="26" t="inlineStr">
        <is>
          <t>NO</t>
        </is>
      </c>
      <c r="T62" s="26" t="n">
        <v>40004</v>
      </c>
      <c r="U62" s="26" t="n">
        <v>3</v>
      </c>
      <c r="V62" s="26" t="inlineStr">
        <is>
          <t>0010</t>
        </is>
      </c>
      <c r="W62" s="26" t="inlineStr">
        <is>
          <t>VEN-4391-M3TY-2-43-0003</t>
        </is>
      </c>
      <c r="X62" s="26" t="n">
        <v>20</v>
      </c>
      <c r="Y62" s="26" t="inlineStr">
        <is>
          <t>QA</t>
        </is>
      </c>
      <c r="AB62" s="26" t="n">
        <v>829.08</v>
      </c>
      <c r="AE62" s="26" t="n">
        <v>1</v>
      </c>
      <c r="AH62" s="26" t="inlineStr">
        <is>
          <t>QATAR</t>
        </is>
      </c>
      <c r="AI62" s="26" t="inlineStr">
        <is>
          <t>QAR</t>
        </is>
      </c>
    </row>
    <row r="63">
      <c r="A63" s="26" t="n">
        <v>58</v>
      </c>
      <c r="B63" s="26" t="n">
        <v>10095846</v>
      </c>
      <c r="C63" s="26" t="n">
        <v>500046</v>
      </c>
      <c r="D63" s="26" t="inlineStr">
        <is>
          <t>L</t>
        </is>
      </c>
      <c r="G63" s="26" t="inlineStr">
        <is>
          <t>4391-2430003-02L03</t>
        </is>
      </c>
      <c r="H63" s="26">
        <f>LEN(G63)</f>
        <v/>
      </c>
      <c r="I63" s="26" t="inlineStr">
        <is>
          <t>FUSE LINK TIS 63,82130/204,BUSSMAN</t>
        </is>
      </c>
      <c r="J63" s="26">
        <f>LEN(I63)</f>
        <v/>
      </c>
      <c r="K63" s="26" t="inlineStr">
        <is>
          <t>2300</t>
        </is>
      </c>
      <c r="L63" s="26" t="inlineStr">
        <is>
          <t>NO</t>
        </is>
      </c>
      <c r="M63" s="26" t="inlineStr">
        <is>
          <t>82130/204</t>
        </is>
      </c>
      <c r="N63" s="26">
        <f>LEN(M63)</f>
        <v/>
      </c>
      <c r="O63" s="26" t="inlineStr">
        <is>
          <t>BUSSMAN</t>
        </is>
      </c>
      <c r="P63" s="26">
        <f>LEN(O63)</f>
        <v/>
      </c>
      <c r="S63" s="26" t="inlineStr">
        <is>
          <t>NO</t>
        </is>
      </c>
      <c r="T63" s="26" t="n">
        <v>40004</v>
      </c>
      <c r="U63" s="26" t="n">
        <v>6</v>
      </c>
      <c r="V63" s="26" t="inlineStr">
        <is>
          <t>0020</t>
        </is>
      </c>
      <c r="W63" s="26" t="inlineStr">
        <is>
          <t>VEN-4391-M3TY-2-43-0003</t>
        </is>
      </c>
      <c r="X63" s="26" t="n">
        <v>20</v>
      </c>
      <c r="Y63" s="26" t="inlineStr">
        <is>
          <t>QA</t>
        </is>
      </c>
      <c r="AB63" s="26" t="n">
        <v>829.08</v>
      </c>
      <c r="AE63" s="26" t="n">
        <v>2</v>
      </c>
      <c r="AH63" s="26" t="inlineStr">
        <is>
          <t>QATAR</t>
        </is>
      </c>
      <c r="AI63" s="26" t="inlineStr">
        <is>
          <t>QAR</t>
        </is>
      </c>
    </row>
    <row r="64">
      <c r="A64" s="26" t="n">
        <v>59</v>
      </c>
      <c r="B64" s="26" t="n">
        <v>10261634</v>
      </c>
      <c r="C64" s="26" t="n">
        <v>500047</v>
      </c>
      <c r="D64" s="26" t="inlineStr">
        <is>
          <t>L</t>
        </is>
      </c>
      <c r="G64" s="26" t="inlineStr">
        <is>
          <t>4391-2430003-02L04</t>
        </is>
      </c>
      <c r="H64" s="26">
        <f>LEN(G64)</f>
        <v/>
      </c>
      <c r="I64" s="26" t="inlineStr">
        <is>
          <t>FUSE LINK TCP 80,82130/301,BUSSMAN</t>
        </is>
      </c>
      <c r="J64" s="26">
        <f>LEN(I64)</f>
        <v/>
      </c>
      <c r="K64" s="26" t="inlineStr">
        <is>
          <t>2300</t>
        </is>
      </c>
      <c r="L64" s="26" t="inlineStr">
        <is>
          <t>NO</t>
        </is>
      </c>
      <c r="M64" s="26" t="inlineStr">
        <is>
          <t>82130/301</t>
        </is>
      </c>
      <c r="N64" s="26">
        <f>LEN(M64)</f>
        <v/>
      </c>
      <c r="O64" s="26" t="inlineStr">
        <is>
          <t>BUSSMAN</t>
        </is>
      </c>
      <c r="P64" s="26">
        <f>LEN(O64)</f>
        <v/>
      </c>
      <c r="S64" s="26" t="inlineStr">
        <is>
          <t>NO</t>
        </is>
      </c>
      <c r="T64" s="26" t="n">
        <v>40004</v>
      </c>
      <c r="U64" s="26" t="n">
        <v>12</v>
      </c>
      <c r="V64" s="26" t="inlineStr">
        <is>
          <t>0030</t>
        </is>
      </c>
      <c r="W64" s="26" t="inlineStr">
        <is>
          <t>VEN-4391-M3TY-2-43-0003</t>
        </is>
      </c>
      <c r="X64" s="26" t="n">
        <v>20</v>
      </c>
      <c r="Y64" s="26" t="inlineStr">
        <is>
          <t>QA</t>
        </is>
      </c>
      <c r="AB64" s="26" t="n">
        <v>829.08</v>
      </c>
      <c r="AE64" s="26" t="n">
        <v>2</v>
      </c>
      <c r="AH64" s="26" t="inlineStr">
        <is>
          <t>QATAR</t>
        </is>
      </c>
      <c r="AI64" s="26" t="inlineStr">
        <is>
          <t>QAR</t>
        </is>
      </c>
    </row>
    <row r="65">
      <c r="A65" s="26" t="n">
        <v>60</v>
      </c>
      <c r="B65" s="26" t="n">
        <v>10095812</v>
      </c>
      <c r="C65" s="26" t="n">
        <v>500048</v>
      </c>
      <c r="D65" s="26" t="inlineStr">
        <is>
          <t>L</t>
        </is>
      </c>
      <c r="G65" s="26" t="inlineStr">
        <is>
          <t>4391-2430003-02L05</t>
        </is>
      </c>
      <c r="H65" s="26">
        <f>LEN(G65)</f>
        <v/>
      </c>
      <c r="I65" s="26" t="inlineStr">
        <is>
          <t>FUSE LINK NS6,82120/103,EATON</t>
        </is>
      </c>
      <c r="J65" s="26">
        <f>LEN(I65)</f>
        <v/>
      </c>
      <c r="K65" s="26" t="inlineStr">
        <is>
          <t>2300</t>
        </is>
      </c>
      <c r="L65" s="26" t="inlineStr">
        <is>
          <t>NO</t>
        </is>
      </c>
      <c r="M65" s="26" t="inlineStr">
        <is>
          <t>82120/103</t>
        </is>
      </c>
      <c r="N65" s="26">
        <f>LEN(M65)</f>
        <v/>
      </c>
      <c r="O65" s="26" t="inlineStr">
        <is>
          <t>EATON</t>
        </is>
      </c>
      <c r="P65" s="26">
        <f>LEN(O65)</f>
        <v/>
      </c>
      <c r="S65" s="26" t="inlineStr">
        <is>
          <t>NO</t>
        </is>
      </c>
      <c r="T65" s="26" t="n">
        <v>40004</v>
      </c>
      <c r="U65" s="26" t="n">
        <v>6</v>
      </c>
      <c r="V65" s="26" t="inlineStr">
        <is>
          <t>0040</t>
        </is>
      </c>
      <c r="W65" s="26" t="inlineStr">
        <is>
          <t>VEN-4391-M3TY-2-43-0003</t>
        </is>
      </c>
      <c r="X65" s="26" t="n">
        <v>20</v>
      </c>
      <c r="Y65" s="26" t="inlineStr">
        <is>
          <t>QA</t>
        </is>
      </c>
      <c r="AB65" s="26" t="n">
        <v>205.38</v>
      </c>
      <c r="AE65" s="26" t="n">
        <v>1</v>
      </c>
      <c r="AH65" s="26" t="inlineStr">
        <is>
          <t>QATAR</t>
        </is>
      </c>
      <c r="AI65" s="26" t="inlineStr">
        <is>
          <t>QAR</t>
        </is>
      </c>
    </row>
    <row r="66">
      <c r="A66" s="26" t="n">
        <v>61</v>
      </c>
      <c r="B66" s="26" t="n">
        <v>10089403</v>
      </c>
      <c r="C66" s="26" t="n">
        <v>500049</v>
      </c>
      <c r="D66" s="26" t="inlineStr">
        <is>
          <t>L</t>
        </is>
      </c>
      <c r="G66" s="26" t="inlineStr">
        <is>
          <t>4391-2430003-02L06</t>
        </is>
      </c>
      <c r="H66" s="26">
        <f>LEN(G66)</f>
        <v/>
      </c>
      <c r="I66" s="26" t="inlineStr">
        <is>
          <t>MONOLITHIC PLASTIC LIGHT- RED, INTEGRAL LED 230..240V AC,XB7EV04MP,SCHNEIDER ELECTRIC</t>
        </is>
      </c>
      <c r="J66" s="26">
        <f>LEN(I66)</f>
        <v/>
      </c>
      <c r="K66" s="26" t="inlineStr">
        <is>
          <t>2300</t>
        </is>
      </c>
      <c r="L66" s="26" t="inlineStr">
        <is>
          <t>NO</t>
        </is>
      </c>
      <c r="M66" s="26" t="inlineStr">
        <is>
          <t>XB7EV04MP</t>
        </is>
      </c>
      <c r="N66" s="26">
        <f>LEN(M66)</f>
        <v/>
      </c>
      <c r="O66" s="26" t="inlineStr">
        <is>
          <t>SCHNEIDER ELECTRIC</t>
        </is>
      </c>
      <c r="P66" s="26">
        <f>LEN(O66)</f>
        <v/>
      </c>
      <c r="S66" s="26" t="inlineStr">
        <is>
          <t>NO</t>
        </is>
      </c>
      <c r="T66" s="26" t="n">
        <v>40004</v>
      </c>
      <c r="U66" s="26" t="n">
        <v>6</v>
      </c>
      <c r="V66" s="26" t="inlineStr">
        <is>
          <t>0050</t>
        </is>
      </c>
      <c r="W66" s="26" t="inlineStr">
        <is>
          <t>VEN-4391-M3TY-2-43-0003</t>
        </is>
      </c>
      <c r="X66" s="26" t="n">
        <v>20</v>
      </c>
      <c r="Y66" s="26" t="inlineStr">
        <is>
          <t>QA</t>
        </is>
      </c>
      <c r="AB66" s="26" t="n">
        <v>20</v>
      </c>
      <c r="AE66" s="26" t="n">
        <v>1</v>
      </c>
      <c r="AH66" s="26" t="inlineStr">
        <is>
          <t>QATAR</t>
        </is>
      </c>
      <c r="AI66" s="26" t="inlineStr">
        <is>
          <t>QAR</t>
        </is>
      </c>
    </row>
    <row r="67">
      <c r="A67" s="26" t="n">
        <v>62</v>
      </c>
      <c r="B67" s="26" t="n">
        <v>10327268</v>
      </c>
      <c r="C67" s="26" t="n">
        <v>500050</v>
      </c>
      <c r="D67" s="26" t="inlineStr">
        <is>
          <t>L</t>
        </is>
      </c>
      <c r="G67" s="26" t="inlineStr">
        <is>
          <t>4391-2430003-02L07</t>
        </is>
      </c>
      <c r="H67" s="26">
        <f>LEN(G67)</f>
        <v/>
      </c>
      <c r="I67" s="26" t="inlineStr">
        <is>
          <t>MONOLITHIC PLASTIC LIGHT- GREEN, INTEGRAL LED 230..240V AC,XB7EV03MP,SCHNEIDER ELECTRIC</t>
        </is>
      </c>
      <c r="J67" s="26">
        <f>LEN(I67)</f>
        <v/>
      </c>
      <c r="K67" s="26" t="inlineStr">
        <is>
          <t>2300</t>
        </is>
      </c>
      <c r="L67" s="26" t="inlineStr">
        <is>
          <t>NO</t>
        </is>
      </c>
      <c r="M67" s="26" t="inlineStr">
        <is>
          <t>XB7EV03MP</t>
        </is>
      </c>
      <c r="N67" s="26">
        <f>LEN(M67)</f>
        <v/>
      </c>
      <c r="O67" s="26" t="inlineStr">
        <is>
          <t>SCHNEIDER ELECTRIC</t>
        </is>
      </c>
      <c r="P67" s="26">
        <f>LEN(O67)</f>
        <v/>
      </c>
      <c r="S67" s="26" t="inlineStr">
        <is>
          <t>NO</t>
        </is>
      </c>
      <c r="T67" s="26" t="n">
        <v>40004</v>
      </c>
      <c r="U67" s="26" t="n">
        <v>6</v>
      </c>
      <c r="V67" s="26" t="inlineStr">
        <is>
          <t>0060</t>
        </is>
      </c>
      <c r="W67" s="26" t="inlineStr">
        <is>
          <t>VEN-4391-M3TY-2-43-0003</t>
        </is>
      </c>
      <c r="X67" s="26" t="n">
        <v>20</v>
      </c>
      <c r="Y67" s="26" t="inlineStr">
        <is>
          <t>QA</t>
        </is>
      </c>
      <c r="AB67" s="26" t="n">
        <v>20</v>
      </c>
      <c r="AE67" s="26" t="n">
        <v>1</v>
      </c>
      <c r="AH67" s="26" t="inlineStr">
        <is>
          <t>QATAR</t>
        </is>
      </c>
      <c r="AI67" s="26" t="inlineStr">
        <is>
          <t>QAR</t>
        </is>
      </c>
    </row>
    <row r="68">
      <c r="A68" s="26" t="n">
        <v>63</v>
      </c>
      <c r="B68" s="26" t="n">
        <v>10339485</v>
      </c>
      <c r="C68" s="26" t="n">
        <v>500051</v>
      </c>
      <c r="D68" s="26" t="inlineStr">
        <is>
          <t>L</t>
        </is>
      </c>
      <c r="G68" s="26" t="inlineStr">
        <is>
          <t>4391-2430003-02L08</t>
        </is>
      </c>
      <c r="H68" s="26">
        <f>LEN(G68)</f>
        <v/>
      </c>
      <c r="I68" s="26" t="inlineStr">
        <is>
          <t>MONOLITHIC PLASTIC LIGHT- AMBER, INTEGRAL LED 230..240V AC,XB7EV08MP,SCHNEIDER ELECTRIC</t>
        </is>
      </c>
      <c r="J68" s="26">
        <f>LEN(I68)</f>
        <v/>
      </c>
      <c r="K68" s="26" t="inlineStr">
        <is>
          <t>2300</t>
        </is>
      </c>
      <c r="L68" s="26" t="inlineStr">
        <is>
          <t>NO</t>
        </is>
      </c>
      <c r="M68" s="26" t="inlineStr">
        <is>
          <t>XB7EV08MP</t>
        </is>
      </c>
      <c r="N68" s="26">
        <f>LEN(M68)</f>
        <v/>
      </c>
      <c r="O68" s="26" t="inlineStr">
        <is>
          <t>SCHNEIDER ELECTRIC</t>
        </is>
      </c>
      <c r="P68" s="26">
        <f>LEN(O68)</f>
        <v/>
      </c>
      <c r="S68" s="26" t="inlineStr">
        <is>
          <t>NO</t>
        </is>
      </c>
      <c r="T68" s="26" t="n">
        <v>40004</v>
      </c>
      <c r="U68" s="26" t="n">
        <v>6</v>
      </c>
      <c r="V68" s="26" t="inlineStr">
        <is>
          <t>0070</t>
        </is>
      </c>
      <c r="W68" s="26" t="inlineStr">
        <is>
          <t>VEN-4391-M3TY-2-43-0003</t>
        </is>
      </c>
      <c r="X68" s="26" t="n">
        <v>20</v>
      </c>
      <c r="Y68" s="26" t="inlineStr">
        <is>
          <t>QA</t>
        </is>
      </c>
      <c r="AB68" s="26" t="n">
        <v>20.25</v>
      </c>
      <c r="AE68" s="26" t="n">
        <v>1</v>
      </c>
      <c r="AH68" s="26" t="inlineStr">
        <is>
          <t>QATAR</t>
        </is>
      </c>
      <c r="AI68" s="26" t="inlineStr">
        <is>
          <t>QAR</t>
        </is>
      </c>
    </row>
    <row r="69">
      <c r="A69" s="26" t="n">
        <v>64</v>
      </c>
      <c r="B69" s="26" t="n">
        <v>10093379</v>
      </c>
      <c r="C69" s="26" t="n">
        <v>500052</v>
      </c>
      <c r="D69" s="26" t="inlineStr">
        <is>
          <t>L</t>
        </is>
      </c>
      <c r="G69" s="26" t="inlineStr">
        <is>
          <t>4391-2430003-02L09</t>
        </is>
      </c>
      <c r="H69" s="26">
        <f>LEN(G69)</f>
        <v/>
      </c>
      <c r="I69" s="26" t="inlineStr">
        <is>
          <t>CONTROL RELAY - 240V AC - 3N/O 2N/C,CAD32U7,SCHNEIDER ELECTRIC</t>
        </is>
      </c>
      <c r="J69" s="26">
        <f>LEN(I69)</f>
        <v/>
      </c>
      <c r="K69" s="26" t="inlineStr">
        <is>
          <t>2300</t>
        </is>
      </c>
      <c r="L69" s="26" t="inlineStr">
        <is>
          <t>NO</t>
        </is>
      </c>
      <c r="M69" s="26" t="inlineStr">
        <is>
          <t>CAD32U7</t>
        </is>
      </c>
      <c r="N69" s="26">
        <f>LEN(M69)</f>
        <v/>
      </c>
      <c r="O69" s="26" t="inlineStr">
        <is>
          <t>SCHNEIDER ELECTRIC</t>
        </is>
      </c>
      <c r="P69" s="26">
        <f>LEN(O69)</f>
        <v/>
      </c>
      <c r="S69" s="26" t="inlineStr">
        <is>
          <t>NO</t>
        </is>
      </c>
      <c r="T69" s="26" t="n">
        <v>40004</v>
      </c>
      <c r="U69" s="26" t="n">
        <v>7</v>
      </c>
      <c r="V69" s="26" t="inlineStr">
        <is>
          <t>0080</t>
        </is>
      </c>
      <c r="W69" s="26" t="inlineStr">
        <is>
          <t>VEN-4391-M3TY-2-43-0003</t>
        </is>
      </c>
      <c r="X69" s="26" t="n">
        <v>20</v>
      </c>
      <c r="Y69" s="26" t="inlineStr">
        <is>
          <t>QA</t>
        </is>
      </c>
      <c r="AB69" s="26" t="n">
        <v>152.8</v>
      </c>
      <c r="AE69" s="26" t="n">
        <v>1</v>
      </c>
      <c r="AH69" s="26" t="inlineStr">
        <is>
          <t>QATAR</t>
        </is>
      </c>
      <c r="AI69" s="26" t="inlineStr">
        <is>
          <t>QAR</t>
        </is>
      </c>
    </row>
    <row r="70">
      <c r="A70" s="26" t="n">
        <v>65</v>
      </c>
      <c r="B70" s="26" t="n">
        <v>10225542</v>
      </c>
      <c r="C70" s="26" t="n">
        <v>500053</v>
      </c>
      <c r="D70" s="26" t="inlineStr">
        <is>
          <t>L</t>
        </is>
      </c>
      <c r="G70" s="26" t="inlineStr">
        <is>
          <t>4391-2430003-02L10</t>
        </is>
      </c>
      <c r="H70" s="26">
        <f>LEN(G70)</f>
        <v/>
      </c>
      <c r="I70" s="26" t="inlineStr">
        <is>
          <t>CONTROL RELAY - 240V AC - 3N/O 2N/C,CAD50U7,SCHNEIDER ELECTRIC</t>
        </is>
      </c>
      <c r="J70" s="26">
        <f>LEN(I70)</f>
        <v/>
      </c>
      <c r="K70" s="26" t="inlineStr">
        <is>
          <t>2300</t>
        </is>
      </c>
      <c r="L70" s="26" t="inlineStr">
        <is>
          <t>NO</t>
        </is>
      </c>
      <c r="M70" s="26" t="inlineStr">
        <is>
          <t>CAD50U7</t>
        </is>
      </c>
      <c r="N70" s="26">
        <f>LEN(M70)</f>
        <v/>
      </c>
      <c r="O70" s="26" t="inlineStr">
        <is>
          <t>SCHNEIDER ELECTRIC</t>
        </is>
      </c>
      <c r="P70" s="26">
        <f>LEN(O70)</f>
        <v/>
      </c>
      <c r="S70" s="26" t="inlineStr">
        <is>
          <t>NO</t>
        </is>
      </c>
      <c r="T70" s="26" t="n">
        <v>40004</v>
      </c>
      <c r="U70" s="26" t="n">
        <v>7</v>
      </c>
      <c r="V70" s="26" t="inlineStr">
        <is>
          <t>0090</t>
        </is>
      </c>
      <c r="W70" s="26" t="inlineStr">
        <is>
          <t>VEN-4391-M3TY-2-43-0003</t>
        </is>
      </c>
      <c r="X70" s="26" t="n">
        <v>20</v>
      </c>
      <c r="Y70" s="26" t="inlineStr">
        <is>
          <t>QA</t>
        </is>
      </c>
      <c r="AB70" s="26" t="n">
        <v>166</v>
      </c>
      <c r="AE70" s="26" t="n">
        <v>1</v>
      </c>
      <c r="AH70" s="26" t="inlineStr">
        <is>
          <t>QATAR</t>
        </is>
      </c>
      <c r="AI70" s="26" t="inlineStr">
        <is>
          <t>QAR</t>
        </is>
      </c>
    </row>
    <row r="71">
      <c r="A71" s="26" t="n">
        <v>66</v>
      </c>
      <c r="B71" s="26" t="n">
        <v>10626661</v>
      </c>
      <c r="C71" s="26" t="n">
        <v>500054</v>
      </c>
      <c r="D71" s="26" t="inlineStr">
        <is>
          <t>L</t>
        </is>
      </c>
      <c r="G71" s="26" t="inlineStr">
        <is>
          <t>4391-2430003-02L11</t>
        </is>
      </c>
      <c r="H71" s="26">
        <f>LEN(G71)</f>
        <v/>
      </c>
      <c r="I71" s="26" t="inlineStr">
        <is>
          <t>AMMETER - 0-40-240A 1A CT OPERATED (40:1A CT),FE48MIA40/1-6X,SCHNEIDER ELECTRIC</t>
        </is>
      </c>
      <c r="J71" s="26">
        <f>LEN(I71)</f>
        <v/>
      </c>
      <c r="K71" s="26" t="inlineStr">
        <is>
          <t>2300</t>
        </is>
      </c>
      <c r="L71" s="26" t="inlineStr">
        <is>
          <t>NO</t>
        </is>
      </c>
      <c r="M71" s="26" t="inlineStr">
        <is>
          <t>FE48MIA40/1-6X</t>
        </is>
      </c>
      <c r="N71" s="26">
        <f>LEN(M71)</f>
        <v/>
      </c>
      <c r="O71" s="26" t="inlineStr">
        <is>
          <t>SCHNEIDER ELECTRIC</t>
        </is>
      </c>
      <c r="P71" s="26">
        <f>LEN(O71)</f>
        <v/>
      </c>
      <c r="S71" s="26" t="inlineStr">
        <is>
          <t>NO</t>
        </is>
      </c>
      <c r="T71" s="26" t="n">
        <v>40004</v>
      </c>
      <c r="U71" s="26" t="n">
        <v>2</v>
      </c>
      <c r="V71" s="26" t="inlineStr">
        <is>
          <t>0100</t>
        </is>
      </c>
      <c r="W71" s="26" t="inlineStr">
        <is>
          <t>VEN-4391-M3TY-2-43-0003</t>
        </is>
      </c>
      <c r="X71" s="26" t="n">
        <v>20</v>
      </c>
      <c r="Y71" s="26" t="inlineStr">
        <is>
          <t>QA</t>
        </is>
      </c>
      <c r="AB71" s="26" t="n">
        <v>929.03</v>
      </c>
      <c r="AE71" s="26" t="n">
        <v>1</v>
      </c>
      <c r="AH71" s="26" t="inlineStr">
        <is>
          <t>QATAR</t>
        </is>
      </c>
      <c r="AI71" s="26" t="inlineStr">
        <is>
          <t>QAR</t>
        </is>
      </c>
    </row>
    <row r="72">
      <c r="A72" s="26" t="n">
        <v>67</v>
      </c>
      <c r="B72" s="26" t="n">
        <v>10626662</v>
      </c>
      <c r="C72" s="26" t="n">
        <v>500055</v>
      </c>
      <c r="D72" s="26" t="inlineStr">
        <is>
          <t>L</t>
        </is>
      </c>
      <c r="G72" s="26" t="inlineStr">
        <is>
          <t>4391-2430003-02L12</t>
        </is>
      </c>
      <c r="H72" s="26">
        <f>LEN(G72)</f>
        <v/>
      </c>
      <c r="I72" s="26" t="inlineStr">
        <is>
          <t>AMMETER - 0-50-300A 1A CT OPERATED (50:1A CT),FE48MIA50/1-6X,SCHNEIDER ELECTRIC</t>
        </is>
      </c>
      <c r="J72" s="26">
        <f>LEN(I72)</f>
        <v/>
      </c>
      <c r="K72" s="26" t="inlineStr">
        <is>
          <t>2300</t>
        </is>
      </c>
      <c r="L72" s="26" t="inlineStr">
        <is>
          <t>NO</t>
        </is>
      </c>
      <c r="M72" s="26" t="inlineStr">
        <is>
          <t>FE48MIA50/1-6X</t>
        </is>
      </c>
      <c r="N72" s="26">
        <f>LEN(M72)</f>
        <v/>
      </c>
      <c r="O72" s="26" t="inlineStr">
        <is>
          <t>SCHNEIDER ELECTRIC</t>
        </is>
      </c>
      <c r="P72" s="26">
        <f>LEN(O72)</f>
        <v/>
      </c>
      <c r="S72" s="26" t="inlineStr">
        <is>
          <t>NO</t>
        </is>
      </c>
      <c r="T72" s="26" t="n">
        <v>40004</v>
      </c>
      <c r="U72" s="26" t="n">
        <v>4</v>
      </c>
      <c r="V72" s="26" t="inlineStr">
        <is>
          <t>0110</t>
        </is>
      </c>
      <c r="W72" s="26" t="inlineStr">
        <is>
          <t>VEN-4391-M3TY-2-43-0003</t>
        </is>
      </c>
      <c r="X72" s="26" t="n">
        <v>20</v>
      </c>
      <c r="Y72" s="26" t="inlineStr">
        <is>
          <t>QA</t>
        </is>
      </c>
      <c r="AB72" s="26" t="n">
        <v>929.03</v>
      </c>
      <c r="AE72" s="26" t="n">
        <v>1</v>
      </c>
      <c r="AH72" s="26" t="inlineStr">
        <is>
          <t>QATAR</t>
        </is>
      </c>
      <c r="AI72" s="26" t="inlineStr">
        <is>
          <t>QAR</t>
        </is>
      </c>
    </row>
    <row r="73">
      <c r="A73" s="26" t="n">
        <v>68</v>
      </c>
      <c r="B73" s="26" t="n">
        <v>10626663</v>
      </c>
      <c r="C73" s="26" t="n">
        <v>500056</v>
      </c>
      <c r="D73" s="26" t="inlineStr">
        <is>
          <t>L</t>
        </is>
      </c>
      <c r="G73" s="26" t="inlineStr">
        <is>
          <t>4391-2430003-02L13</t>
        </is>
      </c>
      <c r="H73" s="26">
        <f>LEN(G73)</f>
        <v/>
      </c>
      <c r="I73" s="26" t="inlineStr">
        <is>
          <t>EMERGENCY STOP Ø 22 - RED - MUSHROOM HEAD Ø 40 MM - STAYPUT - 1 NC,XB7NS8442,SCHNEIDER ELECTRIC</t>
        </is>
      </c>
      <c r="J73" s="26">
        <f>LEN(I73)</f>
        <v/>
      </c>
      <c r="K73" s="26" t="inlineStr">
        <is>
          <t>2300</t>
        </is>
      </c>
      <c r="L73" s="26" t="inlineStr">
        <is>
          <t>NO</t>
        </is>
      </c>
      <c r="M73" s="26" t="inlineStr">
        <is>
          <t>XB7NS8442</t>
        </is>
      </c>
      <c r="N73" s="26">
        <f>LEN(M73)</f>
        <v/>
      </c>
      <c r="O73" s="26" t="inlineStr">
        <is>
          <t>SCHNEIDER ELECTRIC</t>
        </is>
      </c>
      <c r="P73" s="26">
        <f>LEN(O73)</f>
        <v/>
      </c>
      <c r="S73" s="26" t="inlineStr">
        <is>
          <t>NO</t>
        </is>
      </c>
      <c r="T73" s="26" t="n">
        <v>40004</v>
      </c>
      <c r="U73" s="26" t="n">
        <v>7</v>
      </c>
      <c r="V73" s="26" t="inlineStr">
        <is>
          <t>0120</t>
        </is>
      </c>
      <c r="W73" s="26" t="inlineStr">
        <is>
          <t>VEN-4391-M3TY-2-43-0003</t>
        </is>
      </c>
      <c r="X73" s="26" t="n">
        <v>20</v>
      </c>
      <c r="Y73" s="26" t="inlineStr">
        <is>
          <t>QA</t>
        </is>
      </c>
      <c r="AB73" s="26" t="n">
        <v>56.4</v>
      </c>
      <c r="AE73" s="26" t="n">
        <v>1</v>
      </c>
      <c r="AH73" s="26" t="inlineStr">
        <is>
          <t>QATAR</t>
        </is>
      </c>
      <c r="AI73" s="26" t="inlineStr">
        <is>
          <t>QAR</t>
        </is>
      </c>
    </row>
    <row r="74">
      <c r="A74" s="26" t="n">
        <v>69</v>
      </c>
      <c r="B74" s="26" t="n">
        <v>10087975</v>
      </c>
      <c r="C74" s="26" t="n">
        <v>500057</v>
      </c>
      <c r="D74" s="26" t="inlineStr">
        <is>
          <t>L</t>
        </is>
      </c>
      <c r="G74" s="26" t="inlineStr">
        <is>
          <t>4391-2430003-02L14</t>
        </is>
      </c>
      <c r="H74" s="26">
        <f>LEN(G74)</f>
        <v/>
      </c>
      <c r="I74" s="26" t="inlineStr">
        <is>
          <t>ISOLATOR 3P 80A,V4,SCHNEIDER ELECTRIC</t>
        </is>
      </c>
      <c r="J74" s="26">
        <f>LEN(I74)</f>
        <v/>
      </c>
      <c r="K74" s="26" t="inlineStr">
        <is>
          <t>2300</t>
        </is>
      </c>
      <c r="L74" s="26" t="inlineStr">
        <is>
          <t>NO</t>
        </is>
      </c>
      <c r="M74" s="26" t="inlineStr">
        <is>
          <t>V4</t>
        </is>
      </c>
      <c r="N74" s="26">
        <f>LEN(M74)</f>
        <v/>
      </c>
      <c r="O74" s="26" t="inlineStr">
        <is>
          <t>SCHNEIDER ELECTRIC</t>
        </is>
      </c>
      <c r="P74" s="26">
        <f>LEN(O74)</f>
        <v/>
      </c>
      <c r="S74" s="26" t="inlineStr">
        <is>
          <t>NO</t>
        </is>
      </c>
      <c r="T74" s="26" t="n">
        <v>40004</v>
      </c>
      <c r="U74" s="26" t="n">
        <v>7</v>
      </c>
      <c r="V74" s="26" t="inlineStr">
        <is>
          <t>0130</t>
        </is>
      </c>
      <c r="W74" s="26" t="inlineStr">
        <is>
          <t>VEN-4391-M3TY-2-43-0003</t>
        </is>
      </c>
      <c r="X74" s="26" t="n">
        <v>20</v>
      </c>
      <c r="Y74" s="26" t="inlineStr">
        <is>
          <t>QA</t>
        </is>
      </c>
      <c r="AB74" s="26" t="n">
        <v>122.5</v>
      </c>
      <c r="AE74" s="26" t="n">
        <v>1</v>
      </c>
      <c r="AH74" s="26" t="inlineStr">
        <is>
          <t>QATAR</t>
        </is>
      </c>
      <c r="AI74" s="26" t="inlineStr">
        <is>
          <t>QAR</t>
        </is>
      </c>
    </row>
    <row r="75">
      <c r="A75" s="26" t="n">
        <v>70</v>
      </c>
      <c r="B75" s="26" t="n">
        <v>10291208</v>
      </c>
      <c r="C75" s="26" t="n">
        <v>500058</v>
      </c>
      <c r="D75" s="26" t="inlineStr">
        <is>
          <t>L</t>
        </is>
      </c>
      <c r="G75" s="26" t="inlineStr">
        <is>
          <t>4391-2430003-02L15</t>
        </is>
      </c>
      <c r="H75" s="26">
        <f>LEN(G75)</f>
        <v/>
      </c>
      <c r="I75" s="26" t="inlineStr">
        <is>
          <t>ISOLATOR AUXILLIARY 2NO,VZ20,SCHNEIDER ELECTRIC</t>
        </is>
      </c>
      <c r="J75" s="26">
        <f>LEN(I75)</f>
        <v/>
      </c>
      <c r="K75" s="26" t="inlineStr">
        <is>
          <t>2300</t>
        </is>
      </c>
      <c r="L75" s="26" t="inlineStr">
        <is>
          <t>NO</t>
        </is>
      </c>
      <c r="M75" s="26" t="inlineStr">
        <is>
          <t>VZ20</t>
        </is>
      </c>
      <c r="N75" s="26">
        <f>LEN(M75)</f>
        <v/>
      </c>
      <c r="O75" s="26" t="inlineStr">
        <is>
          <t>SCHNEIDER ELECTRIC</t>
        </is>
      </c>
      <c r="P75" s="26">
        <f>LEN(O75)</f>
        <v/>
      </c>
      <c r="S75" s="26" t="inlineStr">
        <is>
          <t>NO</t>
        </is>
      </c>
      <c r="T75" s="26" t="n">
        <v>40004</v>
      </c>
      <c r="U75" s="26" t="n">
        <v>7</v>
      </c>
      <c r="V75" s="26" t="inlineStr">
        <is>
          <t>0140</t>
        </is>
      </c>
      <c r="W75" s="26" t="inlineStr">
        <is>
          <t>VEN-4391-M3TY-2-43-0003</t>
        </is>
      </c>
      <c r="X75" s="26" t="n">
        <v>20</v>
      </c>
      <c r="Y75" s="26" t="inlineStr">
        <is>
          <t>QA</t>
        </is>
      </c>
      <c r="AB75" s="26" t="n">
        <v>57.2</v>
      </c>
      <c r="AE75" s="26" t="n">
        <v>1</v>
      </c>
      <c r="AH75" s="26" t="inlineStr">
        <is>
          <t>QATAR</t>
        </is>
      </c>
      <c r="AI75" s="26" t="inlineStr">
        <is>
          <t>QAR</t>
        </is>
      </c>
    </row>
    <row r="76">
      <c r="A76" s="26" t="n">
        <v>71</v>
      </c>
      <c r="B76" s="26" t="n">
        <v>10521181</v>
      </c>
      <c r="C76" s="26" t="n">
        <v>500059</v>
      </c>
      <c r="D76" s="26" t="inlineStr">
        <is>
          <t>L</t>
        </is>
      </c>
      <c r="G76" s="26" t="inlineStr">
        <is>
          <t>4391-2430003-02L16</t>
        </is>
      </c>
      <c r="H76" s="26">
        <f>LEN(G76)</f>
        <v/>
      </c>
      <c r="I76" s="26" t="inlineStr">
        <is>
          <t>ISOLATOR AUXILLIARY 1NO/1NC,VZ7,SCHNEIDER ELECTRIC</t>
        </is>
      </c>
      <c r="J76" s="26">
        <f>LEN(I76)</f>
        <v/>
      </c>
      <c r="K76" s="26" t="inlineStr">
        <is>
          <t>2300</t>
        </is>
      </c>
      <c r="L76" s="26" t="inlineStr">
        <is>
          <t>NO</t>
        </is>
      </c>
      <c r="M76" s="26" t="inlineStr">
        <is>
          <t>VZ7</t>
        </is>
      </c>
      <c r="N76" s="26">
        <f>LEN(M76)</f>
        <v/>
      </c>
      <c r="O76" s="26" t="inlineStr">
        <is>
          <t>SCHNEIDER ELECTRIC</t>
        </is>
      </c>
      <c r="P76" s="26">
        <f>LEN(O76)</f>
        <v/>
      </c>
      <c r="S76" s="26" t="inlineStr">
        <is>
          <t>NO</t>
        </is>
      </c>
      <c r="T76" s="26" t="n">
        <v>40004</v>
      </c>
      <c r="U76" s="26" t="n">
        <v>7</v>
      </c>
      <c r="V76" s="26" t="inlineStr">
        <is>
          <t>0150</t>
        </is>
      </c>
      <c r="W76" s="26" t="inlineStr">
        <is>
          <t>VEN-4391-M3TY-2-43-0003</t>
        </is>
      </c>
      <c r="X76" s="26" t="n">
        <v>20</v>
      </c>
      <c r="Y76" s="26" t="inlineStr">
        <is>
          <t>QA</t>
        </is>
      </c>
      <c r="AB76" s="26" t="n">
        <v>85.25</v>
      </c>
      <c r="AE76" s="26" t="n">
        <v>1</v>
      </c>
      <c r="AH76" s="26" t="inlineStr">
        <is>
          <t>QATAR</t>
        </is>
      </c>
      <c r="AI76" s="26" t="inlineStr">
        <is>
          <t>QAR</t>
        </is>
      </c>
    </row>
    <row r="77">
      <c r="A77" s="26" t="n">
        <v>72</v>
      </c>
      <c r="B77" s="26" t="n">
        <v>10258036</v>
      </c>
      <c r="C77" s="26" t="n">
        <v>500060</v>
      </c>
      <c r="D77" s="26" t="inlineStr">
        <is>
          <t>L</t>
        </is>
      </c>
      <c r="G77" s="26" t="inlineStr">
        <is>
          <t>4391-2430003-02L17</t>
        </is>
      </c>
      <c r="H77" s="26">
        <f>LEN(G77)</f>
        <v/>
      </c>
      <c r="I77" s="26" t="inlineStr">
        <is>
          <t>CONTACTOR 3P, 240V AC COIL,LC1D50AU7,SCHNEIDER ELECTRIC</t>
        </is>
      </c>
      <c r="J77" s="26">
        <f>LEN(I77)</f>
        <v/>
      </c>
      <c r="K77" s="26" t="inlineStr">
        <is>
          <t>2300</t>
        </is>
      </c>
      <c r="L77" s="26" t="inlineStr">
        <is>
          <t>NO</t>
        </is>
      </c>
      <c r="M77" s="26" t="inlineStr">
        <is>
          <t>LC1D50AU7</t>
        </is>
      </c>
      <c r="N77" s="26">
        <f>LEN(M77)</f>
        <v/>
      </c>
      <c r="O77" s="26" t="inlineStr">
        <is>
          <t>SCHNEIDER ELECTRIC</t>
        </is>
      </c>
      <c r="P77" s="26">
        <f>LEN(O77)</f>
        <v/>
      </c>
      <c r="S77" s="26" t="inlineStr">
        <is>
          <t>NO</t>
        </is>
      </c>
      <c r="T77" s="26" t="n">
        <v>40004</v>
      </c>
      <c r="U77" s="26" t="n">
        <v>6</v>
      </c>
      <c r="V77" s="26" t="inlineStr">
        <is>
          <t>0160</t>
        </is>
      </c>
      <c r="W77" s="26" t="inlineStr">
        <is>
          <t>VEN-4391-M3TY-2-43-0003</t>
        </is>
      </c>
      <c r="X77" s="26" t="n">
        <v>20</v>
      </c>
      <c r="Y77" s="26" t="inlineStr">
        <is>
          <t>QA</t>
        </is>
      </c>
      <c r="AB77" s="26" t="n">
        <v>512.65</v>
      </c>
      <c r="AE77" s="26" t="n">
        <v>1</v>
      </c>
      <c r="AH77" s="26" t="inlineStr">
        <is>
          <t>QATAR</t>
        </is>
      </c>
      <c r="AI77" s="26" t="inlineStr">
        <is>
          <t>QAR</t>
        </is>
      </c>
    </row>
    <row r="78">
      <c r="A78" s="26" t="n">
        <v>73</v>
      </c>
      <c r="B78" s="26" t="n">
        <v>10453362</v>
      </c>
      <c r="C78" s="26" t="n">
        <v>500061</v>
      </c>
      <c r="D78" s="26" t="inlineStr">
        <is>
          <t>L</t>
        </is>
      </c>
      <c r="G78" s="26" t="inlineStr">
        <is>
          <t>4391-2430003-02L18</t>
        </is>
      </c>
      <c r="H78" s="26">
        <f>LEN(G78)</f>
        <v/>
      </c>
      <c r="I78" s="26" t="inlineStr">
        <is>
          <t>OVERLOAD RELAY 30-40A,LRD340,SCHNEIDER ELECTRIC</t>
        </is>
      </c>
      <c r="J78" s="26">
        <f>LEN(I78)</f>
        <v/>
      </c>
      <c r="K78" s="26" t="inlineStr">
        <is>
          <t>2300</t>
        </is>
      </c>
      <c r="L78" s="26" t="inlineStr">
        <is>
          <t>NO</t>
        </is>
      </c>
      <c r="M78" s="26" t="inlineStr">
        <is>
          <t>LRD340</t>
        </is>
      </c>
      <c r="N78" s="26">
        <f>LEN(M78)</f>
        <v/>
      </c>
      <c r="O78" s="26" t="inlineStr">
        <is>
          <t>SCHNEIDER ELECTRIC</t>
        </is>
      </c>
      <c r="P78" s="26">
        <f>LEN(O78)</f>
        <v/>
      </c>
      <c r="S78" s="26" t="inlineStr">
        <is>
          <t>NO</t>
        </is>
      </c>
      <c r="T78" s="26" t="n">
        <v>40004</v>
      </c>
      <c r="U78" s="26" t="n">
        <v>2</v>
      </c>
      <c r="V78" s="26" t="inlineStr">
        <is>
          <t>0170</t>
        </is>
      </c>
      <c r="W78" s="26" t="inlineStr">
        <is>
          <t>VEN-4391-M3TY-2-43-0003</t>
        </is>
      </c>
      <c r="X78" s="26" t="n">
        <v>20</v>
      </c>
      <c r="Y78" s="26" t="inlineStr">
        <is>
          <t>QA</t>
        </is>
      </c>
      <c r="AB78" s="26" t="n">
        <v>419.4</v>
      </c>
      <c r="AE78" s="26" t="n">
        <v>1</v>
      </c>
      <c r="AH78" s="26" t="inlineStr">
        <is>
          <t>QATAR</t>
        </is>
      </c>
      <c r="AI78" s="26" t="inlineStr">
        <is>
          <t>QAR</t>
        </is>
      </c>
    </row>
    <row r="79">
      <c r="A79" s="26" t="n">
        <v>74</v>
      </c>
      <c r="B79" s="26" t="n">
        <v>10366228</v>
      </c>
      <c r="C79" s="26" t="n">
        <v>500062</v>
      </c>
      <c r="D79" s="26" t="inlineStr">
        <is>
          <t>L</t>
        </is>
      </c>
      <c r="G79" s="26" t="inlineStr">
        <is>
          <t>4391-2430003-02L19</t>
        </is>
      </c>
      <c r="H79" s="26">
        <f>LEN(G79)</f>
        <v/>
      </c>
      <c r="I79" s="26" t="inlineStr">
        <is>
          <t>OVERLOAD RELAY 37-50A,LRD350,SCHNEIDER ELECTRIC</t>
        </is>
      </c>
      <c r="J79" s="26">
        <f>LEN(I79)</f>
        <v/>
      </c>
      <c r="K79" s="26" t="inlineStr">
        <is>
          <t>2300</t>
        </is>
      </c>
      <c r="L79" s="26" t="inlineStr">
        <is>
          <t>NO</t>
        </is>
      </c>
      <c r="M79" s="26" t="inlineStr">
        <is>
          <t>LRD350</t>
        </is>
      </c>
      <c r="N79" s="26">
        <f>LEN(M79)</f>
        <v/>
      </c>
      <c r="O79" s="26" t="inlineStr">
        <is>
          <t>SCHNEIDER ELECTRIC</t>
        </is>
      </c>
      <c r="P79" s="26">
        <f>LEN(O79)</f>
        <v/>
      </c>
      <c r="S79" s="26" t="inlineStr">
        <is>
          <t>NO</t>
        </is>
      </c>
      <c r="T79" s="26" t="n">
        <v>40004</v>
      </c>
      <c r="U79" s="26" t="n">
        <v>4</v>
      </c>
      <c r="V79" s="26" t="inlineStr">
        <is>
          <t>0180</t>
        </is>
      </c>
      <c r="W79" s="26" t="inlineStr">
        <is>
          <t>VEN-4391-M3TY-2-43-0003</t>
        </is>
      </c>
      <c r="X79" s="26" t="n">
        <v>20</v>
      </c>
      <c r="Y79" s="26" t="inlineStr">
        <is>
          <t>QA</t>
        </is>
      </c>
      <c r="AB79" s="26" t="n">
        <v>322.95</v>
      </c>
      <c r="AE79" s="26" t="n">
        <v>1</v>
      </c>
      <c r="AH79" s="26" t="inlineStr">
        <is>
          <t>QATAR</t>
        </is>
      </c>
      <c r="AI79" s="26" t="inlineStr">
        <is>
          <t>QAR</t>
        </is>
      </c>
    </row>
  </sheetData>
  <conditionalFormatting sqref="I6">
    <cfRule type="notContainsBlanks" priority="5" dxfId="2">
      <formula>LEN(TRIM(I6))&gt;0</formula>
    </cfRule>
    <cfRule type="containsBlanks" priority="6" dxfId="2">
      <formula>LEN(TRIM(I6))=0</formula>
    </cfRule>
  </conditionalFormatting>
  <conditionalFormatting sqref="M6">
    <cfRule type="notContainsBlanks" priority="3" dxfId="2">
      <formula>LEN(TRIM(M6))&gt;0</formula>
    </cfRule>
    <cfRule type="containsBlanks" priority="4" dxfId="2">
      <formula>LEN(TRIM(M6))=0</formula>
    </cfRule>
  </conditionalFormatting>
  <conditionalFormatting sqref="AB7">
    <cfRule type="notContainsBlanks" priority="1" dxfId="2">
      <formula>LEN(TRIM(AB7))&gt;0</formula>
    </cfRule>
    <cfRule type="containsBlanks" priority="2" dxfId="2">
      <formula>LEN(TRIM(AB7))=0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7.85546875" bestFit="1" customWidth="1" min="1" max="1"/>
    <col width="26.140625" bestFit="1" customWidth="1" min="2" max="2"/>
    <col width="8.42578125" bestFit="1" customWidth="1" min="3" max="3"/>
    <col width="4.5703125" bestFit="1" customWidth="1" min="4" max="4"/>
    <col width="22.140625" bestFit="1" customWidth="1" min="5" max="5"/>
    <col width="7.5703125" bestFit="1" customWidth="1" min="6" max="6"/>
    <col width="14" bestFit="1" customWidth="1" min="7" max="7"/>
    <col width="11.140625" bestFit="1" customWidth="1" min="8" max="8"/>
    <col width="26" bestFit="1" customWidth="1" min="9" max="9"/>
    <col width="9.7109375" customWidth="1" min="10" max="10"/>
  </cols>
  <sheetData>
    <row r="1">
      <c r="A1" s="25" t="inlineStr">
        <is>
          <t>EQFNR</t>
        </is>
      </c>
      <c r="B1" s="25" t="inlineStr">
        <is>
          <t>SUBMT</t>
        </is>
      </c>
      <c r="C1" s="25" t="inlineStr">
        <is>
          <t>SPIR NO</t>
        </is>
      </c>
      <c r="D1" s="25" t="inlineStr">
        <is>
          <t>REV</t>
        </is>
      </c>
      <c r="E1" s="25" t="inlineStr">
        <is>
          <t>HERST</t>
        </is>
      </c>
      <c r="F1" s="25" t="inlineStr">
        <is>
          <t>TYPBZ</t>
        </is>
      </c>
      <c r="G1" s="25" t="inlineStr">
        <is>
          <t>MAPAR</t>
        </is>
      </c>
      <c r="H1" s="25" t="inlineStr">
        <is>
          <t>SERGE</t>
        </is>
      </c>
      <c r="I1" s="25" t="inlineStr">
        <is>
          <t>SPIR TYPE</t>
        </is>
      </c>
      <c r="J1" s="25" t="inlineStr">
        <is>
          <t>REMARKS</t>
        </is>
      </c>
    </row>
    <row r="2">
      <c r="A2" s="25" t="inlineStr">
        <is>
          <t>TAG NO</t>
        </is>
      </c>
      <c r="B2" s="25" t="inlineStr">
        <is>
          <t xml:space="preserve">material Construction type </t>
        </is>
      </c>
      <c r="C2" s="25" t="inlineStr">
        <is>
          <t>SPIR NO</t>
        </is>
      </c>
      <c r="D2" s="25" t="inlineStr">
        <is>
          <t>REV</t>
        </is>
      </c>
      <c r="E2" s="25" t="inlineStr">
        <is>
          <t>MANUFACTURER NAME</t>
        </is>
      </c>
      <c r="F2" s="25" t="inlineStr">
        <is>
          <t>MODEL</t>
        </is>
      </c>
      <c r="G2" s="25" t="inlineStr">
        <is>
          <t>PART NUMBER</t>
        </is>
      </c>
      <c r="H2" s="25" t="inlineStr">
        <is>
          <t>SEREAL NO</t>
        </is>
      </c>
      <c r="I2" s="25" t="inlineStr">
        <is>
          <t>SPIR TYPE</t>
        </is>
      </c>
      <c r="J2" s="25" t="inlineStr">
        <is>
          <t>REMARKS</t>
        </is>
      </c>
    </row>
    <row r="3">
      <c r="A3" s="26" t="inlineStr">
        <is>
          <t>34-QD-23</t>
        </is>
      </c>
      <c r="B3" s="26" t="n">
        <v>40001</v>
      </c>
      <c r="C3" s="26" t="inlineStr">
        <is>
          <t>VEN-4391-M3TY-2-43-0003</t>
        </is>
      </c>
      <c r="D3" s="26" t="inlineStr">
        <is>
          <t>A</t>
        </is>
      </c>
      <c r="E3" s="26" t="inlineStr">
        <is>
          <t>SCHNEIDER ELECTRIC</t>
        </is>
      </c>
      <c r="F3" s="26" t="inlineStr">
        <is>
          <t>OKKEN</t>
        </is>
      </c>
      <c r="G3" s="27" t="n"/>
      <c r="H3" s="26" t="inlineStr">
        <is>
          <t>A88029</t>
        </is>
      </c>
      <c r="I3" s="26" t="inlineStr">
        <is>
          <t>NORMAL OPERATING SPARES</t>
        </is>
      </c>
      <c r="J3" s="27" t="n"/>
    </row>
    <row r="4">
      <c r="A4" s="26" t="inlineStr">
        <is>
          <t>6130-MC-01</t>
        </is>
      </c>
      <c r="B4" s="26" t="n">
        <v>40002</v>
      </c>
      <c r="C4" s="26" t="inlineStr">
        <is>
          <t>VEN-4391-M3TY-2-43-0003</t>
        </is>
      </c>
      <c r="D4" s="26" t="inlineStr">
        <is>
          <t>A</t>
        </is>
      </c>
      <c r="E4" s="26" t="inlineStr">
        <is>
          <t>SCHNEIDER ELECTRIC</t>
        </is>
      </c>
      <c r="F4" s="26" t="inlineStr">
        <is>
          <t>MB400</t>
        </is>
      </c>
      <c r="G4" s="27" t="n"/>
      <c r="H4" s="26" t="inlineStr">
        <is>
          <t>N013</t>
        </is>
      </c>
      <c r="I4" s="26" t="inlineStr">
        <is>
          <t>NORMAL OPERATING SPARES</t>
        </is>
      </c>
      <c r="J4" s="27" t="n"/>
    </row>
    <row r="5">
      <c r="A5" s="26" t="inlineStr">
        <is>
          <t>34-MCC-001</t>
        </is>
      </c>
      <c r="B5" s="26" t="n">
        <v>40003</v>
      </c>
      <c r="C5" s="26" t="inlineStr">
        <is>
          <t>VEN-4391-M3TY-2-43-0003</t>
        </is>
      </c>
      <c r="D5" s="26" t="inlineStr">
        <is>
          <t>A</t>
        </is>
      </c>
      <c r="E5" s="26" t="inlineStr">
        <is>
          <t>SCHNEIDER ELECTRIC</t>
        </is>
      </c>
      <c r="F5" s="26" t="inlineStr">
        <is>
          <t>OKKEN</t>
        </is>
      </c>
      <c r="G5" s="27" t="n"/>
      <c r="H5" s="26" t="inlineStr">
        <is>
          <t>S10003.25</t>
        </is>
      </c>
      <c r="I5" s="26" t="inlineStr">
        <is>
          <t>NORMAL OPERATING SPARES</t>
        </is>
      </c>
      <c r="J5" s="27" t="n"/>
    </row>
    <row r="6">
      <c r="A6" s="26" t="inlineStr">
        <is>
          <t>1660-MC-01</t>
        </is>
      </c>
      <c r="B6" s="26" t="n">
        <v>40004</v>
      </c>
      <c r="C6" s="26" t="inlineStr">
        <is>
          <t>VEN-4391-M3TY-2-43-0003</t>
        </is>
      </c>
      <c r="D6" s="26" t="inlineStr">
        <is>
          <t>A</t>
        </is>
      </c>
      <c r="E6" s="26" t="inlineStr">
        <is>
          <t>SCHNEIDER ELECTRIC</t>
        </is>
      </c>
      <c r="F6" s="26" t="inlineStr">
        <is>
          <t>TRIMLINE</t>
        </is>
      </c>
      <c r="G6" s="27" t="n"/>
      <c r="H6" s="26" t="inlineStr">
        <is>
          <t>TEW0496/01XC</t>
        </is>
      </c>
      <c r="I6" s="26" t="inlineStr">
        <is>
          <t>NORMAL OPERATING SPARES</t>
        </is>
      </c>
      <c r="J6" s="27" t="n"/>
    </row>
  </sheetData>
  <conditionalFormatting sqref="A2">
    <cfRule type="duplicateValues" priority="1" dxfId="0"/>
  </conditionalFormatting>
  <conditionalFormatting sqref="A1:H1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THAVAMANI ANANDHAN</dc:creator>
  <dcterms:created xsi:type="dcterms:W3CDTF">2026-10-01T05:38:01Z</dcterms:created>
  <dcterms:modified xsi:type="dcterms:W3CDTF">2026-10-03T04:46:38Z</dcterms:modified>
  <cp:lastModifiedBy>THAVAMANI ANANDHAN</cp:lastModifiedBy>
</cp:coreProperties>
</file>